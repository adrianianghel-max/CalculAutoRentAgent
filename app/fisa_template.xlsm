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rian.anghel\Desktop\rezerva\rezerva 3\"/>
    </mc:Choice>
  </mc:AlternateContent>
  <bookViews>
    <workbookView xWindow="0" yWindow="0" windowWidth="14376" windowHeight="9252"/>
  </bookViews>
  <sheets>
    <sheet name="Fisa de completat" sheetId="7" r:id="rId1"/>
    <sheet name="Cronologie Rent" sheetId="11" r:id="rId2"/>
    <sheet name="Clase Auto" sheetId="10" r:id="rId3"/>
    <sheet name="Calculator penalitati" sheetId="6" r:id="rId4"/>
    <sheet name="FISA ASF" sheetId="1" r:id="rId5"/>
    <sheet name="Tabel centralizator abuzuri" sheetId="8" r:id="rId6"/>
    <sheet name="Baza de date" sheetId="4" r:id="rId7"/>
  </sheets>
  <functionGroups builtInGroupCount="18"/>
  <definedNames>
    <definedName name="NEDEPLASABILA">'Fisa de completat'!$F$5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 i="7" l="1"/>
  <c r="D18" i="7"/>
  <c r="A2" i="7" l="1"/>
  <c r="D44" i="7" l="1"/>
  <c r="E47" i="7" l="1"/>
  <c r="E46" i="7" l="1"/>
  <c r="D46" i="7" l="1"/>
  <c r="D47" i="7" l="1"/>
  <c r="D48" i="7" s="1"/>
  <c r="F43" i="7" l="1"/>
  <c r="F34" i="7" l="1"/>
  <c r="F29" i="7" l="1"/>
  <c r="F16" i="7"/>
  <c r="H28" i="7" l="1"/>
  <c r="M2" i="8" l="1"/>
  <c r="G2" i="8"/>
  <c r="H27" i="7" l="1"/>
  <c r="H25" i="7"/>
  <c r="H24" i="7"/>
  <c r="H26" i="7" l="1"/>
  <c r="AA2" i="4" l="1"/>
  <c r="Z2" i="4"/>
  <c r="Y2" i="4"/>
  <c r="X2" i="4"/>
  <c r="W2" i="4"/>
  <c r="V2" i="4"/>
  <c r="U2" i="4"/>
  <c r="T2" i="4"/>
  <c r="S2" i="4"/>
  <c r="R2" i="4"/>
  <c r="Q2" i="4"/>
  <c r="P2" i="4"/>
  <c r="O2" i="4"/>
  <c r="N2" i="4"/>
  <c r="M2" i="4"/>
  <c r="L2" i="4"/>
  <c r="K2" i="4"/>
  <c r="J2" i="4"/>
  <c r="I2" i="4"/>
  <c r="H2" i="4"/>
  <c r="G2" i="4"/>
  <c r="F2" i="4"/>
  <c r="E2" i="4"/>
  <c r="D2" i="4"/>
  <c r="C2" i="4"/>
  <c r="B2" i="4"/>
  <c r="A2" i="4"/>
  <c r="P2" i="8"/>
  <c r="O2" i="8"/>
  <c r="N2" i="8"/>
  <c r="L2" i="8"/>
  <c r="J2" i="8"/>
  <c r="I2" i="8"/>
  <c r="H2" i="8"/>
  <c r="F2" i="8"/>
  <c r="C2" i="8"/>
  <c r="B2" i="8"/>
  <c r="J13" i="1"/>
  <c r="F13" i="1"/>
  <c r="J12" i="1"/>
  <c r="F12" i="1"/>
  <c r="F11" i="1"/>
  <c r="J10" i="1"/>
  <c r="F11" i="6"/>
  <c r="G11" i="6" s="1"/>
  <c r="E11" i="6"/>
  <c r="D11" i="6"/>
  <c r="G6" i="6"/>
  <c r="E6" i="6"/>
  <c r="D6" i="6"/>
  <c r="R2" i="8" l="1"/>
  <c r="Q2" i="8"/>
  <c r="S2" i="8" l="1"/>
</calcChain>
</file>

<file path=xl/comments1.xml><?xml version="1.0" encoding="utf-8"?>
<comments xmlns="http://schemas.openxmlformats.org/spreadsheetml/2006/main">
  <authors>
    <author>Cristian Dragomir</author>
  </authors>
  <commentList>
    <comment ref="L8" authorId="0" shapeId="0">
      <text>
        <r>
          <rPr>
            <sz val="9"/>
            <color indexed="81"/>
            <rFont val="Tahoma"/>
            <family val="2"/>
          </rPr>
          <t xml:space="preserve"> (bazat pe Mitsubishi Outlander cu câteva modificări)
</t>
        </r>
      </text>
    </comment>
    <comment ref="C9" authorId="0" shapeId="0">
      <text>
        <r>
          <rPr>
            <sz val="9"/>
            <color indexed="81"/>
            <rFont val="Tahoma"/>
            <family val="2"/>
          </rPr>
          <t>(e la limita între clasa mică și compactă, undeva între)</t>
        </r>
      </text>
    </comment>
    <comment ref="C10" authorId="0" shapeId="0">
      <text>
        <r>
          <rPr>
            <sz val="9"/>
            <color indexed="81"/>
            <rFont val="Tahoma"/>
            <family val="2"/>
          </rPr>
          <t xml:space="preserve">(e la limita între clasa mică și compactă, undeva între)
</t>
        </r>
      </text>
    </comment>
    <comment ref="L10" authorId="0" shapeId="0">
      <text>
        <r>
          <rPr>
            <sz val="9"/>
            <color indexed="81"/>
            <rFont val="Tahoma"/>
            <family val="2"/>
          </rPr>
          <t xml:space="preserve">(în realitate, e la limita dintre clasa mică și compactă având 4,32 m)
</t>
        </r>
      </text>
    </comment>
    <comment ref="K11" authorId="0" shapeId="0">
      <text>
        <r>
          <rPr>
            <sz val="9"/>
            <color indexed="81"/>
            <rFont val="Tahoma"/>
            <family val="2"/>
          </rPr>
          <t xml:space="preserve">(tinde spre clasa compactă)
</t>
        </r>
      </text>
    </comment>
    <comment ref="A12" authorId="0" shapeId="0">
      <text>
        <r>
          <rPr>
            <sz val="9"/>
            <color indexed="81"/>
            <rFont val="Tahoma"/>
            <family val="2"/>
          </rPr>
          <t xml:space="preserve">
 (uneori pusă în clasa mică)</t>
        </r>
      </text>
    </comment>
    <comment ref="H14" authorId="0" shapeId="0">
      <text>
        <r>
          <rPr>
            <sz val="9"/>
            <color indexed="81"/>
            <rFont val="Tahoma"/>
            <family val="2"/>
          </rPr>
          <t xml:space="preserve"> (devenit SUV la a doua generație)
</t>
        </r>
      </text>
    </comment>
    <comment ref="C25" authorId="0" shapeId="0">
      <text>
        <r>
          <rPr>
            <sz val="9"/>
            <color indexed="81"/>
            <rFont val="Tahoma"/>
            <family val="2"/>
          </rPr>
          <t xml:space="preserve">(e la limita între clasa mică și compactă, undeva între)
</t>
        </r>
      </text>
    </comment>
    <comment ref="D26" authorId="0" shapeId="0">
      <text>
        <r>
          <rPr>
            <sz val="9"/>
            <color indexed="81"/>
            <rFont val="Tahoma"/>
            <family val="2"/>
          </rPr>
          <t xml:space="preserve">(e la limita superioară a clasei medii, aproape de clasa mare)
</t>
        </r>
      </text>
    </comment>
    <comment ref="M27" authorId="0" shapeId="0">
      <text>
        <r>
          <rPr>
            <sz val="9"/>
            <color indexed="81"/>
            <rFont val="Tahoma"/>
            <family val="2"/>
          </rPr>
          <t xml:space="preserve">(oficial în această clasă deși are dimensiuni de clasă mare – 4,8 m lungime)
</t>
        </r>
      </text>
    </comment>
    <comment ref="L30" authorId="0" shapeId="0">
      <text>
        <r>
          <rPr>
            <sz val="9"/>
            <color indexed="81"/>
            <rFont val="Tahoma"/>
            <family val="2"/>
          </rPr>
          <t xml:space="preserve">(ceva mai mare decât GLA, aproape chiar de GLC)
</t>
        </r>
      </text>
    </comment>
    <comment ref="C31" authorId="0" shapeId="0">
      <text>
        <r>
          <rPr>
            <sz val="9"/>
            <color indexed="81"/>
            <rFont val="Tahoma"/>
            <family val="2"/>
          </rPr>
          <t>(e la limita superioară a clasei compacte, la granița cu clasa medie)</t>
        </r>
      </text>
    </comment>
    <comment ref="L38" authorId="0" shapeId="0">
      <text>
        <r>
          <rPr>
            <sz val="9"/>
            <color indexed="81"/>
            <rFont val="Tahoma"/>
            <family val="2"/>
          </rPr>
          <t xml:space="preserve">(bazat pe Mitsubishi Outlander cu câteva modificări)
</t>
        </r>
      </text>
    </comment>
    <comment ref="L50" authorId="0" shapeId="0">
      <text>
        <r>
          <rPr>
            <sz val="9"/>
            <color indexed="81"/>
            <rFont val="Tahoma"/>
            <family val="2"/>
          </rPr>
          <t xml:space="preserve">(la limita dintre clasa mică și compactă cu ai săi 4,23 m lungime. E între T-Cross și Tiguan)
</t>
        </r>
      </text>
    </comment>
  </commentList>
</comments>
</file>

<file path=xl/sharedStrings.xml><?xml version="1.0" encoding="utf-8"?>
<sst xmlns="http://schemas.openxmlformats.org/spreadsheetml/2006/main" count="699" uniqueCount="637">
  <si>
    <t>Data polita</t>
  </si>
  <si>
    <t>Data avizare</t>
  </si>
  <si>
    <t>Data solicitare VMD</t>
  </si>
  <si>
    <t>Data comunicare adresa investigatii</t>
  </si>
  <si>
    <t>Data comunicare raspuns investigatii</t>
  </si>
  <si>
    <t>Data depunerii ultimului document solicitat</t>
  </si>
  <si>
    <t>Tarif ora de manopera/inclusiv TVA facturat</t>
  </si>
  <si>
    <t>Tarif inchiriere auto facturat</t>
  </si>
  <si>
    <t>Suma solicitata prin CD</t>
  </si>
  <si>
    <t>Suma reclamata</t>
  </si>
  <si>
    <t>Data eveniment</t>
  </si>
  <si>
    <t>Data constatare</t>
  </si>
  <si>
    <t>Data comunicare VMD</t>
  </si>
  <si>
    <t>Data finalizare investigatii</t>
  </si>
  <si>
    <t>Data cerere despagubire</t>
  </si>
  <si>
    <t>Data comunicare oferta</t>
  </si>
  <si>
    <t>Data solicitare depunere alte documente</t>
  </si>
  <si>
    <t>Data platii</t>
  </si>
  <si>
    <t>Tarif ora manopera/inclusiv TVA acceptat</t>
  </si>
  <si>
    <t>Tarif inchiriere auto acceptat</t>
  </si>
  <si>
    <t>Adaos pese/materiale acceptat</t>
  </si>
  <si>
    <t>Suma achitata pana la data petitiei</t>
  </si>
  <si>
    <t>Penalitati</t>
  </si>
  <si>
    <t>Data solicitare reconstatare</t>
  </si>
  <si>
    <t>Data reconstatare</t>
  </si>
  <si>
    <t>Completeaza BRCC</t>
  </si>
  <si>
    <t>Data acceptare despagubire</t>
  </si>
  <si>
    <t>Data comunicare notificare respingere</t>
  </si>
  <si>
    <t>Fisa dosar RCA</t>
  </si>
  <si>
    <t>Numar dosar</t>
  </si>
  <si>
    <t>Suma solicitata</t>
  </si>
  <si>
    <t>Nr factura reparatie</t>
  </si>
  <si>
    <t>Data factura</t>
  </si>
  <si>
    <t>Emitent factura</t>
  </si>
  <si>
    <t>Numar inmatriculare</t>
  </si>
  <si>
    <t>Pagubit</t>
  </si>
  <si>
    <t>Adresa pagubit</t>
  </si>
  <si>
    <t>CONFORM LEGII 132/2017</t>
  </si>
  <si>
    <t>Legea 132/2017  Art. 21: Soluţionarea cererii de despăgubire (1) În termen de 30 de zile de la data înaintării cererii de despăgubire de către asigurat ori de către partea prejudiciată, asigurătorul RCA este obligat: a) fie să răspundă cererii părţii solicitante, formulând în scris o ofertă de despăgubire justificată, transmisă cu confirmare de primire, în cazul în care se dovedeşte răspunderea asiguratului în producerea riscurilor acoperite prin asigurarea RCA, iar prejudiciul a fost cuantificat; b) fie să notifice părţii prejudiciate în scris, cu confirmare de primire, motivele pentru care nu a aprobat, în totalitate sau parţial, pretenţiile de despăgubire. (2) Dacă în termen de 30 de zile de la depunerea cererii de despăgubire de către partea prejudiciată ori de către asigurat, asigurătorul RCA nu a notificat părţii prejudiciate respingerea pretenţiilor de despăgubire, precum şi motivele respingerii, asigurătorul RCA este obligat la plata despăgubirii. (4) Despăgubirea se plăteşte de către asigurătorul RCA în termen de 10 zile de la data acceptării ofertei de despăgubire prevăzută la alin. (1) lit. a) sau de la data la care asigurătorul RCA a primit o hotărâre judecătorească definitivă sau acordul entităţii de soluţionare a litigiului cu privire la suma de despăgubire pe care este obligat să o plătească. Documentele care stau la baza cererii de despăgubire sunt stabilite prin reglementări ale A.S.F. (5) Dacă asigurătorul RCA nu îşi îndeplineşte obligaţiile în termenul prevăzut la alin. (4) sau şi le îndeplineşte defectuos, inclusiv dacă diminuează nejustificat despăgubirea sau întârzie achitarea despăgubirii, acesta este obligat la plata unor penalităţi de 0,2% pe zi de întârziere calculate la nivelul sumei de despăgubire cuvenită sau la diferenţa de sumă neachitată. Plata penalităţilor se face odată cu plata despăgubirii.</t>
  </si>
  <si>
    <t>Pentru varianta in care in cadrul dosarului de dauna GAM a facut oferta de despagubire (regie proprie/dauna totala) si aceasta a fost acceptata de asigurat/persoana prejudiciata prin scrierea sumei ofertate de GAM pe declaratia de acceptare a despagubirii, plata trebuie efectuata in 10 zile</t>
  </si>
  <si>
    <t>Data depunere declaratie acceptare despagubire</t>
  </si>
  <si>
    <t>Data platii efective</t>
  </si>
  <si>
    <t>Dupa cate zile am facut plata</t>
  </si>
  <si>
    <t>Cate zile de penalitati trebuie sa platim</t>
  </si>
  <si>
    <t>Suma datorata conform oferta</t>
  </si>
  <si>
    <t xml:space="preserve">Penalitati datorate </t>
  </si>
  <si>
    <t>Pentru varianta in care in cadrul dosarului de dauna GAM nu a facut oferta de despagubire sau a facut si nu a fost acceptata de asigurat/persoana prejudiciata, plata trebuie efectuata in 30 de zile de la depunerea cererii de despagubire</t>
  </si>
  <si>
    <t>Data depunere cerere despagubire</t>
  </si>
  <si>
    <t>Suma datorata conform cerere</t>
  </si>
  <si>
    <t xml:space="preserve">Observatii: </t>
  </si>
  <si>
    <t>apoi, se introduce in campul "suma datorata" valoarea despagubirii pentru care calculam penalitati si aplicatia returneaza suma calculata automat</t>
  </si>
  <si>
    <r>
      <rPr>
        <b/>
        <sz val="11"/>
        <color rgb="FFFF0000"/>
        <rFont val="Calibri"/>
        <family val="2"/>
      </rPr>
      <t>VARIANTA 1</t>
    </r>
    <r>
      <rPr>
        <b/>
        <sz val="11"/>
        <color rgb="FF000000"/>
        <rFont val="Calibri"/>
        <family val="2"/>
      </rPr>
      <t xml:space="preserve"> CU TERMEN DE PLATA 10 ZILE</t>
    </r>
  </si>
  <si>
    <r>
      <rPr>
        <b/>
        <sz val="11"/>
        <color rgb="FFFF0000"/>
        <rFont val="Calibri"/>
        <family val="2"/>
      </rPr>
      <t>VARIANTA 2</t>
    </r>
    <r>
      <rPr>
        <b/>
        <sz val="11"/>
        <color rgb="FF000000"/>
        <rFont val="Calibri"/>
        <family val="2"/>
      </rPr>
      <t xml:space="preserve"> CU TERMEN DE PLATA 30 DE ZILE</t>
    </r>
  </si>
  <si>
    <r>
      <t xml:space="preserve">se completeaza data depunere si data plata sub forma </t>
    </r>
    <r>
      <rPr>
        <b/>
        <sz val="11"/>
        <color rgb="FFFF0000"/>
        <rFont val="Calibri"/>
        <family val="2"/>
      </rPr>
      <t>luna/zi/an</t>
    </r>
    <r>
      <rPr>
        <b/>
        <sz val="11"/>
        <color rgb="FF000000"/>
        <rFont val="Calibri"/>
        <family val="2"/>
      </rPr>
      <t>, iar aplicatia calculeaza automat dupa cate zile am facut plata si cate zile de penalitati rezulta</t>
    </r>
  </si>
  <si>
    <t xml:space="preserve">Numar dosar </t>
  </si>
  <si>
    <t>VALOARE FACTURATA</t>
  </si>
  <si>
    <t>VALOARE ACCEPTATA</t>
  </si>
  <si>
    <t>REPARATIE</t>
  </si>
  <si>
    <t>LIPSA DE FOLOSINTA</t>
  </si>
  <si>
    <t>Marca auto</t>
  </si>
  <si>
    <t>Suma acceptata</t>
  </si>
  <si>
    <t>Pret inchiriere acceptata/zi</t>
  </si>
  <si>
    <t>Zile de inchiriere acceptate</t>
  </si>
  <si>
    <t>Suma inchiriere solicitata</t>
  </si>
  <si>
    <t>Marca inchiriata</t>
  </si>
  <si>
    <t>Nr factura inchiriere</t>
  </si>
  <si>
    <t>Data factura inchiriere</t>
  </si>
  <si>
    <t>Emitent factura inchiriere</t>
  </si>
  <si>
    <t>Suma inchiriere acceptata</t>
  </si>
  <si>
    <t>VALOARE ACCEPTATA IN LITERE</t>
  </si>
  <si>
    <t>Valoare in litere</t>
  </si>
  <si>
    <t>Localitate reparatie</t>
  </si>
  <si>
    <t>DATE DESPRE DOSAR SI PAGUBIT</t>
  </si>
  <si>
    <t>Localitate inchiriere</t>
  </si>
  <si>
    <t>Nr. Dosar Dauna</t>
  </si>
  <si>
    <t>Suma solicitata daune materiale</t>
  </si>
  <si>
    <t>Motiv plata partiala daune materiale</t>
  </si>
  <si>
    <t>Calcul despagubire partiala daune materiale</t>
  </si>
  <si>
    <t>Suma platita daune materiale</t>
  </si>
  <si>
    <t>Beneficiar plata daune materiale</t>
  </si>
  <si>
    <t>Suma solicitata lipsa folosinta</t>
  </si>
  <si>
    <t>Motiv plata partiala lipsa de folosinta</t>
  </si>
  <si>
    <t>Calcul despagubire partiala lipsa de folosinta</t>
  </si>
  <si>
    <t>Suma platita lipsa de folosinta</t>
  </si>
  <si>
    <t>Beneficiar plata lipsa de folosinta</t>
  </si>
  <si>
    <t>Marca si tipul auto inchiriat</t>
  </si>
  <si>
    <t>Numar inmatriculare auto inchiriat</t>
  </si>
  <si>
    <t>Diferenta neachitata daune materiale</t>
  </si>
  <si>
    <t>Diferenta neachitata lipsa de folosinta</t>
  </si>
  <si>
    <t>TOTAL Diferenta</t>
  </si>
  <si>
    <t>vp</t>
  </si>
  <si>
    <t>dat</t>
  </si>
  <si>
    <t>rentalcars.com</t>
  </si>
  <si>
    <t>Cesionar</t>
  </si>
  <si>
    <t>TOTAL DIFERENTE</t>
  </si>
  <si>
    <t xml:space="preserve"> </t>
  </si>
  <si>
    <t>.</t>
  </si>
  <si>
    <t>Adresa cesionar</t>
  </si>
  <si>
    <t>Data eliberare DIR/PV Politie</t>
  </si>
  <si>
    <t>Data inceput rent</t>
  </si>
  <si>
    <t>Data sfarsit rent</t>
  </si>
  <si>
    <t>PERIOADA RENT</t>
  </si>
  <si>
    <t>PERIOADA REP</t>
  </si>
  <si>
    <t>MARCA / NR AUTO INCHIRIATA</t>
  </si>
  <si>
    <t>MANOPERA TINICHIGERIE</t>
  </si>
  <si>
    <t xml:space="preserve">MANOPERA VOPSITORIE </t>
  </si>
  <si>
    <t xml:space="preserve">DATE PAGUBIT </t>
  </si>
  <si>
    <t>MOTIVARE DIFERENTA</t>
  </si>
  <si>
    <t>MARCA/MODEL :</t>
  </si>
  <si>
    <t>NUMAR INMATRICULARE :</t>
  </si>
  <si>
    <t>NUME PAGUBIT :</t>
  </si>
  <si>
    <t>ADRESA PAGUBIT :</t>
  </si>
  <si>
    <t>NUME CESIONAR :</t>
  </si>
  <si>
    <t>SE VA COMPLETA TOT CU NUMELE PAGUBITULUI DACA PLATA NU ESTE CESIONATA</t>
  </si>
  <si>
    <t>ADRESA CESIONAR:</t>
  </si>
  <si>
    <t>IN CAZ DE CESIUNE CREANTA SE COMPLETEAZA CU ADRESA CESIONARULUI</t>
  </si>
  <si>
    <t>DATA EVENIMENT :</t>
  </si>
  <si>
    <t>DATA DEPUNERII CD :</t>
  </si>
  <si>
    <t>IN CAZUL SOLICITARII ALTUI DOCUMENT ULTERIOR CD SE VA COMPLETA DATA PRIMIRII ACESTUIA</t>
  </si>
  <si>
    <t>NUMAR FACTURA :</t>
  </si>
  <si>
    <t>DATA FACTURA :</t>
  </si>
  <si>
    <t>EMITENT FACTURA :</t>
  </si>
  <si>
    <t>LOCALITATE REPARATIE :</t>
  </si>
  <si>
    <t>VALOARE DESPAGUBIRE</t>
  </si>
  <si>
    <t>ORA MANOPERA :</t>
  </si>
  <si>
    <t>DIFERENTE DESPAGUBIRE REPARATIE</t>
  </si>
  <si>
    <t>PIESE</t>
  </si>
  <si>
    <t>NU S-A ACCEPTAT ADAOS COMERCIAL, PIESE NECONSTATATE</t>
  </si>
  <si>
    <t>MATERIALE VOPSITORIE</t>
  </si>
  <si>
    <t>NU S-A ACCEPTAT ADAOS COMERCIAL, MATERIALE AFERENTE PIESE NECONSTATATE</t>
  </si>
  <si>
    <t xml:space="preserve">NU SE JUSTIFICA UTILIZAREA </t>
  </si>
  <si>
    <t>MANOPERA AFERENTA PIESE NECONSTATATE</t>
  </si>
  <si>
    <t>MANOPERA</t>
  </si>
  <si>
    <t>DIFERENTA PROVENITA DIN MODIFICAREA PRETULUI OREI DE MANOPERA</t>
  </si>
  <si>
    <t>ZILE DE INCHIRIERE</t>
  </si>
  <si>
    <t>CLASA MINI</t>
  </si>
  <si>
    <t>CLASA MICĂ</t>
  </si>
  <si>
    <t>CLASA COMPACTĂ</t>
  </si>
  <si>
    <t>CLASA MEDIE</t>
  </si>
  <si>
    <t>CLASA MARE</t>
  </si>
  <si>
    <t>CLASA DE LUX</t>
  </si>
  <si>
    <t>CLASA MONOVOLUMELOR</t>
  </si>
  <si>
    <t>Monovolume compacte</t>
  </si>
  <si>
    <t>Monovolume mari sau eurovanuri</t>
  </si>
  <si>
    <t>Monovolume derivate din vehicule utilitare</t>
  </si>
  <si>
    <t>SUV-uri de clasă mică</t>
  </si>
  <si>
    <t>SUV-uri compacte</t>
  </si>
  <si>
    <t>SUV-uri de dimesiuni medii</t>
  </si>
  <si>
    <t>SUV-uri de dimensiuni mari</t>
  </si>
  <si>
    <t>SUV-uri mari de lux</t>
  </si>
  <si>
    <t>SUV-uri Coupe</t>
  </si>
  <si>
    <t>CLASA OFFROAD</t>
  </si>
  <si>
    <t>COUPE</t>
  </si>
  <si>
    <t>COUPE cu 4 uşi</t>
  </si>
  <si>
    <t>HOT-HATCH</t>
  </si>
  <si>
    <t>CABRIO</t>
  </si>
  <si>
    <t>SUPERSPORT</t>
  </si>
  <si>
    <t>maşini de oraş de mic litraj, de obicei sub până pe la 3,8 m lungime</t>
  </si>
  <si>
    <t>maşini de oraş a căror lungime se situează, în general, între 3,85 şi 4,1 m. Sunt superioare clasei mini în privinţa spaţiului interior</t>
  </si>
  <si>
    <t>cea mai vândută clasă de automobile. Modelele aferente acestei clase vin sub formă de hatchback, combi sau sedan. Sunt uşor de folosit atât în oraş, cât şi la drum lung. Dimensiunile variază de la 4,2 m până la 4,5 m lungime. În cazuri excepționale, sar de 4,5 m</t>
  </si>
  <si>
    <t>automobile sub formă de limuzină/sedan sau combi cu lungimi ce variază de la 4,5-4,6 m până la aproximativ 4,8 m</t>
  </si>
  <si>
    <t>descrierea acestei clase se confundă cu cea de la clasa medie, cu menţiunea că lungimea maşinilor variază de la 4,8 m la 5,00 m</t>
  </si>
  <si>
    <t>limuzine ce adesea depăşesc 5 m lungime şi ating preţuri formate din 6 cifre</t>
  </si>
  <si>
    <t>automobile cu formă de van ce pot transporta de la 5 până la 7 persoane. De asemenea, la rândul lor, monovolumele se împart în mai multe subcategorii în funcţie de dimesiunile acestora</t>
  </si>
  <si>
    <t>și mai mari decât cele de la punctul 4</t>
  </si>
  <si>
    <t>modele hatchback de clasă mică şi compactă cu motoare performante ce au la bază modele obişnuite</t>
  </si>
  <si>
    <t>modele decapotabile cu acoperiş metalic sau din material textil</t>
  </si>
  <si>
    <t>Aston Martin Cygnet</t>
  </si>
  <si>
    <t>Alfa Romeo MiTo</t>
  </si>
  <si>
    <t>Alfa Romeo Giulietta </t>
  </si>
  <si>
    <t>Alfa Romeo 159 </t>
  </si>
  <si>
    <t>Audi A6</t>
  </si>
  <si>
    <t>Audi A8 </t>
  </si>
  <si>
    <t>Citroën C3 Picasso</t>
  </si>
  <si>
    <t>BMW Seria 2 Active Tourer / Seria 2 Grand Tourer</t>
  </si>
  <si>
    <t>Citroën C8</t>
  </si>
  <si>
    <t>Citroën Berlingo </t>
  </si>
  <si>
    <t>Audi Q2</t>
  </si>
  <si>
    <t>Audi Q3 </t>
  </si>
  <si>
    <t>Alfa Romeo Stelvio</t>
  </si>
  <si>
    <t>BMW X5</t>
  </si>
  <si>
    <t>Audi Q7</t>
  </si>
  <si>
    <t>Audi Q3 Sportback</t>
  </si>
  <si>
    <t>Jeep Renegade</t>
  </si>
  <si>
    <t>Alfa Romeo 4C</t>
  </si>
  <si>
    <t>Audi A5</t>
  </si>
  <si>
    <t>Audi RS3</t>
  </si>
  <si>
    <t>Alfa Romeo 4C Spider</t>
  </si>
  <si>
    <t>Audi R8 </t>
  </si>
  <si>
    <t>Citroën C1</t>
  </si>
  <si>
    <t>Audi A1</t>
  </si>
  <si>
    <t>Audi A3/S3</t>
  </si>
  <si>
    <t>Alfa Romeo Giulia</t>
  </si>
  <si>
    <t>BMW Seria 5</t>
  </si>
  <si>
    <t>BMW Seria 7</t>
  </si>
  <si>
    <t>FIAT Idea</t>
  </si>
  <si>
    <t>Chevrolet Orlando </t>
  </si>
  <si>
    <t>Dodge Caravan</t>
  </si>
  <si>
    <t>Citroën Nemo</t>
  </si>
  <si>
    <t>Citroën C3 Aircross</t>
  </si>
  <si>
    <t>BMW X1</t>
  </si>
  <si>
    <t>Audi Q5 </t>
  </si>
  <si>
    <t>Jeep Grand Cherokee</t>
  </si>
  <si>
    <t>Bentley Bentayga</t>
  </si>
  <si>
    <t>Audi Q8</t>
  </si>
  <si>
    <t>Jeep Compass</t>
  </si>
  <si>
    <t>Alfa Romeo 8C Competizione</t>
  </si>
  <si>
    <t>Audi A7</t>
  </si>
  <si>
    <t>BMW Seria 1M</t>
  </si>
  <si>
    <t>Alfa Romeo 8C Spider</t>
  </si>
  <si>
    <t>Bugatti Veyron 16/4</t>
  </si>
  <si>
    <t>Chevrolet Spark</t>
  </si>
  <si>
    <t>Chevrolet Aveo</t>
  </si>
  <si>
    <t>BMW Seria 1</t>
  </si>
  <si>
    <t>Audi A4</t>
  </si>
  <si>
    <t>Chevrolet Malibu</t>
  </si>
  <si>
    <t>Bentley Continental Flying Spur</t>
  </si>
  <si>
    <t>FIAT 500L</t>
  </si>
  <si>
    <t>Citroën C4 Picasso / C4 Grand Picasso</t>
  </si>
  <si>
    <t>FIAT Ulysse</t>
  </si>
  <si>
    <t>Dacia Dokker</t>
  </si>
  <si>
    <t xml:space="preserve">Citroën C4 Aircross </t>
  </si>
  <si>
    <t>BMW X2</t>
  </si>
  <si>
    <t>BMW X3</t>
  </si>
  <si>
    <t>Lexus RX</t>
  </si>
  <si>
    <t>BMW X7</t>
  </si>
  <si>
    <t>BMW X4</t>
  </si>
  <si>
    <t>Jeep Patriot</t>
  </si>
  <si>
    <t>BMW Seria 4 Gran Coupe</t>
  </si>
  <si>
    <t>Ford Fiesta ST</t>
  </si>
  <si>
    <t>Audi A3 Cabrio</t>
  </si>
  <si>
    <t>Bugatii Chiron</t>
  </si>
  <si>
    <t>Daewoo Matiz</t>
  </si>
  <si>
    <t>Citroën C3</t>
  </si>
  <si>
    <t>Chevrolet Cruze</t>
  </si>
  <si>
    <t>BMW Seria 3</t>
  </si>
  <si>
    <t>DS5</t>
  </si>
  <si>
    <t>Bentley Mulsanne</t>
  </si>
  <si>
    <t>Ford B-Max</t>
  </si>
  <si>
    <t>Dacia Lodgy</t>
  </si>
  <si>
    <t>Ford S-Max</t>
  </si>
  <si>
    <t>FIAT Doblo</t>
  </si>
  <si>
    <t>Chevrolet Trax</t>
  </si>
  <si>
    <t>Chevrolet Captiva</t>
  </si>
  <si>
    <t>DS 7 Crossback</t>
  </si>
  <si>
    <t>Mazda CX-9</t>
  </si>
  <si>
    <t>Lamborghini Urus</t>
  </si>
  <si>
    <t>BMW X6</t>
  </si>
  <si>
    <t>Jeep Cherokee</t>
  </si>
  <si>
    <t>Audi TT</t>
  </si>
  <si>
    <t>BMW Seria 6 Gran Coupe</t>
  </si>
  <si>
    <t>Ford Focus ST</t>
  </si>
  <si>
    <t>Audi A5 Cabrio</t>
  </si>
  <si>
    <t>Chevrolet Corvette C7</t>
  </si>
  <si>
    <t>Daewoo Tico</t>
  </si>
  <si>
    <t>Dacia Sandero</t>
  </si>
  <si>
    <t>Citroën C4</t>
  </si>
  <si>
    <t>Chevrolet Epica</t>
  </si>
  <si>
    <t>Infiniti Q50</t>
  </si>
  <si>
    <t>Jaguar XJ</t>
  </si>
  <si>
    <t>Hyundai ix20</t>
  </si>
  <si>
    <t>Ford C-Max / Grand C-Max</t>
  </si>
  <si>
    <t>Ford Galaxy</t>
  </si>
  <si>
    <t>FIAT Qubo</t>
  </si>
  <si>
    <t>FIAT Panda 4×4</t>
  </si>
  <si>
    <t>Citroën C-Crosser</t>
  </si>
  <si>
    <t>Ford Edge</t>
  </si>
  <si>
    <t>Mercedes-Benz M-Klasse</t>
  </si>
  <si>
    <t>Maserati Levante</t>
  </si>
  <si>
    <t>Mercedes-Benz GLC Coupe</t>
  </si>
  <si>
    <t>BMW Seria 2 Coupe</t>
  </si>
  <si>
    <t>BMW Seria 8 Gran Coupe</t>
  </si>
  <si>
    <t>Ford Focus RS</t>
  </si>
  <si>
    <t>Audi TT Roadster</t>
  </si>
  <si>
    <t>Chevrolet Camaro</t>
  </si>
  <si>
    <t>FIAT 500</t>
  </si>
  <si>
    <t>DS3</t>
  </si>
  <si>
    <t xml:space="preserve">Citroën C-Elysée </t>
  </si>
  <si>
    <t>Citroën C5</t>
  </si>
  <si>
    <t>Jaguar XF</t>
  </si>
  <si>
    <t>Lexus LS</t>
  </si>
  <si>
    <t>Kia Venga</t>
  </si>
  <si>
    <t>Kia Carens</t>
  </si>
  <si>
    <t>Hyundai i800</t>
  </si>
  <si>
    <t>Ford Tourneo Connect</t>
  </si>
  <si>
    <t>Ford EcoSport</t>
  </si>
  <si>
    <t>Citroën C5 Aircross</t>
  </si>
  <si>
    <t>Hyundai ix55</t>
  </si>
  <si>
    <t>Mercedes-Benz GLE</t>
  </si>
  <si>
    <t>Mercedes-Benz GLS</t>
  </si>
  <si>
    <t>Mercedes-Benz GLE Coupe</t>
  </si>
  <si>
    <t>Jeep Wrangler</t>
  </si>
  <si>
    <t>BMW Seria 3 Coupe</t>
  </si>
  <si>
    <t>Kia Stinger</t>
  </si>
  <si>
    <t>Honda Civic Type-R</t>
  </si>
  <si>
    <t>BMW Seria 2 Cabrio</t>
  </si>
  <si>
    <t>Dodge Challenger</t>
  </si>
  <si>
    <t>FIAT Panda</t>
  </si>
  <si>
    <t>FIAT Punto</t>
  </si>
  <si>
    <r>
      <t xml:space="preserve">Dacia Logan </t>
    </r>
    <r>
      <rPr>
        <sz val="8"/>
        <color rgb="FFFF0000"/>
        <rFont val="Calibri"/>
        <family val="2"/>
        <scheme val="minor"/>
      </rPr>
      <t/>
    </r>
  </si>
  <si>
    <t>Dodge Charger</t>
  </si>
  <si>
    <t>Lexus GS</t>
  </si>
  <si>
    <t>Maserati Quattroporte</t>
  </si>
  <si>
    <t>Renault Modus</t>
  </si>
  <si>
    <t>Mazda5</t>
  </si>
  <si>
    <t>Lancia Phedra</t>
  </si>
  <si>
    <t>Mercedes-Benz Citan</t>
  </si>
  <si>
    <t>Ford Puma</t>
  </si>
  <si>
    <t xml:space="preserve">Dacia Duster </t>
  </si>
  <si>
    <t>Hyundai Santa Fe</t>
  </si>
  <si>
    <t>Porsche Cayenne</t>
  </si>
  <si>
    <t>Range Rover Vogue</t>
  </si>
  <si>
    <t>Porsche Cayenne Coupe</t>
  </si>
  <si>
    <t>Land Rover Freelander</t>
  </si>
  <si>
    <t>BMW Seria 4 Coupe</t>
  </si>
  <si>
    <t>Mercedes-Benz CLA</t>
  </si>
  <si>
    <t>Mazda3 MPS</t>
  </si>
  <si>
    <t>BMW Seria 3 Cabrio</t>
  </si>
  <si>
    <t>Ferrari LaFerrari</t>
  </si>
  <si>
    <t>Ford Ka</t>
  </si>
  <si>
    <t>Ford Fiesta</t>
  </si>
  <si>
    <t>DS4</t>
  </si>
  <si>
    <t>Ford Mondeo</t>
  </si>
  <si>
    <t>Maserati Ghibli</t>
  </si>
  <si>
    <t>Mercedes-Benz S-Klasse</t>
  </si>
  <si>
    <t>Škoda Roomster</t>
  </si>
  <si>
    <t>Mercedes-Benz B-Klasse</t>
  </si>
  <si>
    <t>Mercedes-Benz Viano</t>
  </si>
  <si>
    <t>Nissan Primastar</t>
  </si>
  <si>
    <t xml:space="preserve">Honda HR-V </t>
  </si>
  <si>
    <t>Dodge Nitro</t>
  </si>
  <si>
    <t>Infiniti FX</t>
  </si>
  <si>
    <t>Renault Arkana</t>
  </si>
  <si>
    <t>Land Rover Discovery Sport</t>
  </si>
  <si>
    <t>BMW Seria 6 Coupe</t>
  </si>
  <si>
    <t>Mercedes-Benz CLA Shooting Brake</t>
  </si>
  <si>
    <t>Mercedes-Benz A45 AMG</t>
  </si>
  <si>
    <t>BMW Seria 4 Cabrio</t>
  </si>
  <si>
    <t>Ferrari F12 Berlinetta</t>
  </si>
  <si>
    <t>Ford Ka+</t>
  </si>
  <si>
    <t>Hyundai i20</t>
  </si>
  <si>
    <t>FIAT Bravo</t>
  </si>
  <si>
    <t>Honda Accord</t>
  </si>
  <si>
    <t>Mercedes-Benz E-Klasse</t>
  </si>
  <si>
    <t>Porsche Panamera</t>
  </si>
  <si>
    <t>Mitsubishi Grandis</t>
  </si>
  <si>
    <t>Mercedes-Benz V-Klasse</t>
  </si>
  <si>
    <t>Opel Vivaro</t>
  </si>
  <si>
    <t>Hyundai Kona</t>
  </si>
  <si>
    <t>DS 3 Crossback</t>
  </si>
  <si>
    <t>Infiniti QX50</t>
  </si>
  <si>
    <t>Land Rover Discovery</t>
  </si>
  <si>
    <t>BMW Seria 8</t>
  </si>
  <si>
    <t>Mercedes-Benz CLS</t>
  </si>
  <si>
    <t>Peugeot 208 GTi</t>
  </si>
  <si>
    <t>BMW Seria 6 Cabrio</t>
  </si>
  <si>
    <t>Ferrari 458 Italia</t>
  </si>
  <si>
    <t>Hyundai i10</t>
  </si>
  <si>
    <t>Kia Rio</t>
  </si>
  <si>
    <t>Ford Focus</t>
  </si>
  <si>
    <t>Hyundai i40</t>
  </si>
  <si>
    <t>Peugeot 607</t>
  </si>
  <si>
    <t>Rolls-Royce Ghost</t>
  </si>
  <si>
    <t>Opel Zafira Tourer</t>
  </si>
  <si>
    <t>Peugeot 807</t>
  </si>
  <si>
    <t>Peugeot Bipper</t>
  </si>
  <si>
    <t>FIAT 500X</t>
  </si>
  <si>
    <t>Jaguar F-Pace</t>
  </si>
  <si>
    <t>Mercedes-Benz G-Klasse</t>
  </si>
  <si>
    <t>BMW Z4 Coupe</t>
  </si>
  <si>
    <t>Volkswagen CC</t>
  </si>
  <si>
    <t>Renault Clio RS</t>
  </si>
  <si>
    <t>Ford Focus CC</t>
  </si>
  <si>
    <t>Ferrari 488</t>
  </si>
  <si>
    <t>Lancia Ypsilon</t>
  </si>
  <si>
    <t>Mazda2</t>
  </si>
  <si>
    <t>Honda Civic</t>
  </si>
  <si>
    <t>Infiniti M35</t>
  </si>
  <si>
    <t>Renault Latitude</t>
  </si>
  <si>
    <t>Rolls-Royce Phantom</t>
  </si>
  <si>
    <t>Peugeot 5008</t>
  </si>
  <si>
    <t>Renault Espace</t>
  </si>
  <si>
    <t>Peugeot Partner</t>
  </si>
  <si>
    <t>Kia Soul</t>
  </si>
  <si>
    <t>Ford Kuga</t>
  </si>
  <si>
    <t>Mitsubishi Pajero</t>
  </si>
  <si>
    <t>Honda CR-Z</t>
  </si>
  <si>
    <t>Renault Megane RS</t>
  </si>
  <si>
    <t>Infiniti G37 Cabrio</t>
  </si>
  <si>
    <t>Ferrari F8 Tributo</t>
  </si>
  <si>
    <t>Kia Picanto</t>
  </si>
  <si>
    <t>Mitsubishi Colt</t>
  </si>
  <si>
    <t>Hyundai i30 / Elantra</t>
  </si>
  <si>
    <t>Jaguar XE</t>
  </si>
  <si>
    <t>SAAB 9-5</t>
  </si>
  <si>
    <t>Volkswagen Phaeton</t>
  </si>
  <si>
    <t>Renault Scenic / Grand Scenic</t>
  </si>
  <si>
    <t>SEAT Alhambra</t>
  </si>
  <si>
    <t>Renault Trafic</t>
  </si>
  <si>
    <t>Kia Stonic</t>
  </si>
  <si>
    <t>Honda CR-V</t>
  </si>
  <si>
    <t>Kia Sorento</t>
  </si>
  <si>
    <t>Nissan Pathfinder</t>
  </si>
  <si>
    <t>Hyundai Veloster</t>
  </si>
  <si>
    <t>SEAT Leon Cupra R</t>
  </si>
  <si>
    <t>Jaguar F-Type</t>
  </si>
  <si>
    <t>Ferrari FF</t>
  </si>
  <si>
    <t>Mini One / Cooper</t>
  </si>
  <si>
    <t>Nissan Micra</t>
  </si>
  <si>
    <t>Kia Ceed</t>
  </si>
  <si>
    <t>Lexus IS</t>
  </si>
  <si>
    <t>Volvo V70</t>
  </si>
  <si>
    <t>Toyota Verso</t>
  </si>
  <si>
    <t>SsangYong Rodius</t>
  </si>
  <si>
    <t>Mazda CX-3</t>
  </si>
  <si>
    <t>Hyundai ix35</t>
  </si>
  <si>
    <t>Nissan Patrol</t>
  </si>
  <si>
    <t>Infiniti G37</t>
  </si>
  <si>
    <t>Škoda Fabia vRS</t>
  </si>
  <si>
    <t>Lexus IS Cabrio</t>
  </si>
  <si>
    <t>Ferrar 599 GTB</t>
  </si>
  <si>
    <t>Mitsubishi Space Star</t>
  </si>
  <si>
    <t>Opel Corsa</t>
  </si>
  <si>
    <t>Lancia Delta</t>
  </si>
  <si>
    <t>Mazda6</t>
  </si>
  <si>
    <t>Volvo S80</t>
  </si>
  <si>
    <t>Volkswagen Touran</t>
  </si>
  <si>
    <t>Volkswagen Sharan</t>
  </si>
  <si>
    <t>Mini Countryman</t>
  </si>
  <si>
    <t>Hyundai Tucson</t>
  </si>
  <si>
    <t>Lexus NX</t>
  </si>
  <si>
    <t>Toyota LandCruiser</t>
  </si>
  <si>
    <t>Mercedes-Benz C-Klasse Coupe</t>
  </si>
  <si>
    <t>Subaru Impreza WRX</t>
  </si>
  <si>
    <t>Mazda MX-5</t>
  </si>
  <si>
    <t>Lamborghini Aventador</t>
  </si>
  <si>
    <t>Opel ADAM</t>
  </si>
  <si>
    <t>Peugeot 206 / 207 / 208</t>
  </si>
  <si>
    <t>Lexus CT200h</t>
  </si>
  <si>
    <t>Mercedes-Benz C-Klasse</t>
  </si>
  <si>
    <t>Volvo S90 / V90</t>
  </si>
  <si>
    <t>Seat Altea</t>
  </si>
  <si>
    <t>Mini Paceman</t>
  </si>
  <si>
    <t>Infiniti EX</t>
  </si>
  <si>
    <t>Mazda CX-5</t>
  </si>
  <si>
    <t>Mercedes-Benz E-Klasse Coupe</t>
  </si>
  <si>
    <t>Volkswagen Golf GTI</t>
  </si>
  <si>
    <t>Mercedes-Benz C-Klasse Cabrio</t>
  </si>
  <si>
    <t>Lamborghini Gallardo</t>
  </si>
  <si>
    <t>Opel Agila</t>
  </si>
  <si>
    <t>Renault Clio</t>
  </si>
  <si>
    <t>Mazda3</t>
  </si>
  <si>
    <t>Opel Insignia</t>
  </si>
  <si>
    <t>Mitsubishi ASX</t>
  </si>
  <si>
    <t>Infiniti QX30</t>
  </si>
  <si>
    <t>Mazda CX-7</t>
  </si>
  <si>
    <t>Mercedes-Benz CL</t>
  </si>
  <si>
    <t>Volkswagen Golf GTD</t>
  </si>
  <si>
    <t>Mercedes-Benz E-Klasse Cabrio</t>
  </si>
  <si>
    <t>Lamborghini Veneno</t>
  </si>
  <si>
    <t>Opel Karl</t>
  </si>
  <si>
    <t>Škoda Fabia</t>
  </si>
  <si>
    <t>Mercedes-Benz A-Klasse</t>
  </si>
  <si>
    <t>Peugeot 407</t>
  </si>
  <si>
    <t>Nissan Juke</t>
  </si>
  <si>
    <t>Jaguar E-Pace</t>
  </si>
  <si>
    <t>Mercedes-Benz GLC</t>
  </si>
  <si>
    <t>Nissan 370Z</t>
  </si>
  <si>
    <t>Volkswagen Golf R</t>
  </si>
  <si>
    <t>Mercedes-Benz SLK</t>
  </si>
  <si>
    <t>Lexus LF-A</t>
  </si>
  <si>
    <t>Peugeot 107 / 108</t>
  </si>
  <si>
    <t>SEAT Ibiza</t>
  </si>
  <si>
    <t>Mitsubishi Lancer</t>
  </si>
  <si>
    <t>Peugeot 508</t>
  </si>
  <si>
    <t>Opel Crossland  X</t>
  </si>
  <si>
    <t>Peugeot RCZ</t>
  </si>
  <si>
    <t>Mercedes-Benz SL</t>
  </si>
  <si>
    <t>Maserati GranTurismo</t>
  </si>
  <si>
    <t>Renault Twingo</t>
  </si>
  <si>
    <t>Suzuki Swift</t>
  </si>
  <si>
    <t>Nissan Tiida</t>
  </si>
  <si>
    <t>Renault Laguna</t>
  </si>
  <si>
    <t>Opel Mokka</t>
  </si>
  <si>
    <t>Porsche Cayman</t>
  </si>
  <si>
    <t>Mini Cabrio</t>
  </si>
  <si>
    <t>McLaren MP4-12C</t>
  </si>
  <si>
    <t>SEAT Mii</t>
  </si>
  <si>
    <t>Suzuki Baleno</t>
  </si>
  <si>
    <t>Nissan Pulsar</t>
  </si>
  <si>
    <t>Renault Talisman</t>
  </si>
  <si>
    <t>Lexus GS+G16:J20</t>
  </si>
  <si>
    <t>Peugeot 2008</t>
  </si>
  <si>
    <t>Subaru BRZ</t>
  </si>
  <si>
    <t>Nissan 370Z Cabrio</t>
  </si>
  <si>
    <t>McLaren P1</t>
  </si>
  <si>
    <t>smart fortwo</t>
  </si>
  <si>
    <t>Toyota Yaris</t>
  </si>
  <si>
    <t>Opel Astra</t>
  </si>
  <si>
    <t>SAAB 9-3</t>
  </si>
  <si>
    <t xml:space="preserve">Peugeot 4008 </t>
  </si>
  <si>
    <t>Kia Sportage</t>
  </si>
  <si>
    <t>Nissan X-Trail</t>
  </si>
  <si>
    <t>Toyota GT-86</t>
  </si>
  <si>
    <t>Opel Cascada</t>
  </si>
  <si>
    <t>Mercedes-Benz SLS AMG</t>
  </si>
  <si>
    <t>smart forfour</t>
  </si>
  <si>
    <t>Volkswagen Polo</t>
  </si>
  <si>
    <t xml:space="preserve">Peugeot 301 </t>
  </si>
  <si>
    <t>SEAT Exeo</t>
  </si>
  <si>
    <t>Renault Captur</t>
  </si>
  <si>
    <t>Toyota Supra</t>
  </si>
  <si>
    <t>Peugeot 207 CC</t>
  </si>
  <si>
    <t>Nissan GT-R</t>
  </si>
  <si>
    <t>Škoda Citigo</t>
  </si>
  <si>
    <t>Peugeot 307 / 308</t>
  </si>
  <si>
    <t xml:space="preserve">Škoda Superb </t>
  </si>
  <si>
    <t>SEAT Arona</t>
  </si>
  <si>
    <t>Porsche Macan</t>
  </si>
  <si>
    <t>Volkswagen Scirocco</t>
  </si>
  <si>
    <t>Porsche Boxster</t>
  </si>
  <si>
    <t>Porsche 911</t>
  </si>
  <si>
    <t>Toyota iQ</t>
  </si>
  <si>
    <t>Renault Megane</t>
  </si>
  <si>
    <t>Subaru Legacy</t>
  </si>
  <si>
    <t>Škoda Kamiq</t>
  </si>
  <si>
    <t>Lexus UX</t>
  </si>
  <si>
    <t xml:space="preserve">Range Rover Velar </t>
  </si>
  <si>
    <t>Renault Megane CC</t>
  </si>
  <si>
    <t>Toyota Aygo</t>
  </si>
  <si>
    <t>SEAT Leon</t>
  </si>
  <si>
    <t>Suzuki Kizashi</t>
  </si>
  <si>
    <t>Subaru XV</t>
  </si>
  <si>
    <t>Mazda CX-30</t>
  </si>
  <si>
    <t>Renault Koleos</t>
  </si>
  <si>
    <t>Renault Wind</t>
  </si>
  <si>
    <t>Volkswagen Lupo</t>
  </si>
  <si>
    <t>Škoda Rapid</t>
  </si>
  <si>
    <t>Toyota Avensis</t>
  </si>
  <si>
    <t xml:space="preserve">Suzuki Vitara </t>
  </si>
  <si>
    <t>Mercedes-Benz GLA</t>
  </si>
  <si>
    <t>SAAB 9-7X</t>
  </si>
  <si>
    <t>smart cabrio</t>
  </si>
  <si>
    <t>Volkswagen Fox</t>
  </si>
  <si>
    <t>Škoda Scala</t>
  </si>
  <si>
    <t>Volkswagen Passat</t>
  </si>
  <si>
    <t>Toyota C-HR</t>
  </si>
  <si>
    <t xml:space="preserve">Mercedes-Benz GLB </t>
  </si>
  <si>
    <t>SEAT Tarraco</t>
  </si>
  <si>
    <t>Volkswagen Golf Cabrio</t>
  </si>
  <si>
    <t>Volkswagen up!</t>
  </si>
  <si>
    <t xml:space="preserve">Škoda Octavia </t>
  </si>
  <si>
    <t>Volvo S60 / V60</t>
  </si>
  <si>
    <t>Volkswagen T-Cross</t>
  </si>
  <si>
    <t>Mercedes-Benz GLK</t>
  </si>
  <si>
    <t>Škoda Kodiaq</t>
  </si>
  <si>
    <t>Volkswagen Eos</t>
  </si>
  <si>
    <t>Subaru Impreza hatchback</t>
  </si>
  <si>
    <t>Mitsubishi Outlander</t>
  </si>
  <si>
    <t>Volkswagen Tiguan Allspace</t>
  </si>
  <si>
    <t>Volvo C70</t>
  </si>
  <si>
    <t>Toyota Auris</t>
  </si>
  <si>
    <t>Mitsubishi Eclipse Cross</t>
  </si>
  <si>
    <t>Volvo XC60</t>
  </si>
  <si>
    <t>Toyota Corolla</t>
  </si>
  <si>
    <t>Nissan Qashqai</t>
  </si>
  <si>
    <t>Volkswagen Golf/JETTA</t>
  </si>
  <si>
    <t>Opel Antara</t>
  </si>
  <si>
    <t>Volvo V40</t>
  </si>
  <si>
    <t>Opel Grandland X</t>
  </si>
  <si>
    <t>Volvo S40 / V50</t>
  </si>
  <si>
    <t>Peugeot 3008</t>
  </si>
  <si>
    <t xml:space="preserve">Peugeot 4007 </t>
  </si>
  <si>
    <t>Range Rover Evoque</t>
  </si>
  <si>
    <t>Renault Kadjar</t>
  </si>
  <si>
    <t>SAAB 9-4X</t>
  </si>
  <si>
    <t>SEAT Ateca</t>
  </si>
  <si>
    <t>Škoda Yeti</t>
  </si>
  <si>
    <t>Škoda Karoq</t>
  </si>
  <si>
    <t>Subaru Forester</t>
  </si>
  <si>
    <t>Subaru Outback</t>
  </si>
  <si>
    <t>Suzuki SX4</t>
  </si>
  <si>
    <t>Suzuki Grand Vitara</t>
  </si>
  <si>
    <t>Toyota RAV4</t>
  </si>
  <si>
    <t xml:space="preserve">Volkswagen T-Roc </t>
  </si>
  <si>
    <t>Volkswagen Tiguan</t>
  </si>
  <si>
    <t>Volvo XC40</t>
  </si>
  <si>
    <t>MARCA/OFERTA RENT</t>
  </si>
  <si>
    <t>PERIOADA REC</t>
  </si>
  <si>
    <t>DATE FACTURA LIPSA DE FOLOSINTA</t>
  </si>
  <si>
    <t>DATA EMITERE RCA</t>
  </si>
  <si>
    <t>ABUZ REP</t>
  </si>
  <si>
    <t>PERIOADA AF</t>
  </si>
  <si>
    <t>REG</t>
  </si>
  <si>
    <t>CLAIM</t>
  </si>
  <si>
    <t>TOTAL REP CU RENT SOLICITAT:</t>
  </si>
  <si>
    <t>RENT</t>
  </si>
  <si>
    <t xml:space="preserve">TOTAL REP CU RENT ACCEPTAT:  </t>
  </si>
  <si>
    <t>CU TVA</t>
  </si>
  <si>
    <t>Cui prestator reparatie</t>
  </si>
  <si>
    <t>Cui prestator lipsa de folosinta</t>
  </si>
  <si>
    <t xml:space="preserve">DATE FACTURA REPARATIE </t>
  </si>
  <si>
    <t>anul nou</t>
  </si>
  <si>
    <t>Boboteaza</t>
  </si>
  <si>
    <t xml:space="preserve"> Sfantul Ioan Botezatorul </t>
  </si>
  <si>
    <t>Ziua Unirii Principatelor Române</t>
  </si>
  <si>
    <t>Paște ortodox 2025</t>
  </si>
  <si>
    <t>Paște ortodox 2026</t>
  </si>
  <si>
    <t>Paște ortodox 2027</t>
  </si>
  <si>
    <t>Ziua Muncii</t>
  </si>
  <si>
    <t xml:space="preserve"> Ziua Copilului</t>
  </si>
  <si>
    <t>Rusalii</t>
  </si>
  <si>
    <t>Adormirea Maicii Domnului</t>
  </si>
  <si>
    <t>Sfântul Andrei</t>
  </si>
  <si>
    <t>Ziua Națională a României</t>
  </si>
  <si>
    <t>Crăciunul</t>
  </si>
  <si>
    <t>între 10 09 2022 și 11 04 2023 →  N18</t>
  </si>
  <si>
    <t>între 11 04 2023 și 01 07 2025 →  HG298</t>
  </si>
  <si>
    <t>după 01 07 2025 → N18 după încetarea HG298</t>
  </si>
  <si>
    <t>01.07.2025  → TVA CRESTE DE LA 19% LA 21%</t>
  </si>
  <si>
    <t>PERIOADA COMANDA PIESE</t>
  </si>
  <si>
    <t>AVIZARE/DIR/AR POLITIE</t>
  </si>
  <si>
    <t>Anul Nou</t>
  </si>
  <si>
    <t>Sfantul Ioan Botezatorul</t>
  </si>
  <si>
    <t>Ziua Unirii</t>
  </si>
  <si>
    <t xml:space="preserve">Paște ortodox </t>
  </si>
  <si>
    <t xml:space="preserve"> Ziua Muncii</t>
  </si>
  <si>
    <t>Ziua Copilului/Rusalii</t>
  </si>
  <si>
    <t>Craciunul</t>
  </si>
  <si>
    <t>Ziua Națională</t>
  </si>
  <si>
    <t>DATA CONSTATARII</t>
  </si>
  <si>
    <t>CERINTA</t>
  </si>
  <si>
    <t xml:space="preserve">REG </t>
  </si>
  <si>
    <t>NEDEPLASABIL</t>
  </si>
  <si>
    <t>0</t>
  </si>
  <si>
    <t>--</t>
  </si>
  <si>
    <t>1</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</si>
</sst>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quot;lei&quot;#,##0.00_);\(&quot;lei&quot;#,##0.00\)"/>
    <numFmt numFmtId="165" formatCode="&quot;lei&quot;#,##0.00_);[Red]\(&quot;lei&quot;#,##0.00\)"/>
    <numFmt numFmtId="166" formatCode="[$-809]dd\ mmmm\ yyyy;@"/>
    <numFmt numFmtId="167" formatCode="\."/>
    <numFmt numFmtId="168" formatCode="#,##0.00;[Red]#,##0.00"/>
    <numFmt numFmtId="169" formatCode="[$-10818]dd\.mm\.yyyy;@"/>
    <numFmt numFmtId="170" formatCode="dd/mm/yyyy;@"/>
    <numFmt numFmtId="171" formatCode="#,##0.00\ &quot;lei/zi&quot;;[Red]\-#,##0.00\ &quot;lei/zi&quot;"/>
    <numFmt numFmtId="172" formatCode="\ \ &quot;  CUI:  &quot;@"/>
    <numFmt numFmtId="173" formatCode="#,##0\ &quot;zile&quot;"/>
    <numFmt numFmtId="174" formatCode="#,##0.00\ &quot; lei&quot;;\-#,##0.00\ &quot; lei&quot;"/>
    <numFmt numFmtId="175" formatCode="#,##0.00\ &quot; h&quot;;\-#,##0.00\ &quot; lei&quot;"/>
    <numFmt numFmtId="176" formatCode="&quot;TVA &quot;\ #\ 0\ \ &quot; % &quot;;\-#\ 0\ \ &quot; % &quot;"/>
    <numFmt numFmtId="177" formatCode="dd\.mm\.yyyy"/>
    <numFmt numFmtId="178" formatCode="00000"/>
  </numFmts>
  <fonts count="32" x14ac:knownFonts="1">
    <font>
      <sz val="11"/>
      <color theme="1"/>
      <name val="Calibri"/>
      <family val="2"/>
      <scheme val="minor"/>
    </font>
    <font>
      <sz val="16"/>
      <color rgb="FF212121"/>
      <name val="Arial"/>
      <family val="2"/>
    </font>
    <font>
      <sz val="11"/>
      <color rgb="FFFF0000"/>
      <name val="Calibri"/>
      <family val="2"/>
      <scheme val="minor"/>
    </font>
    <font>
      <b/>
      <sz val="11"/>
      <color theme="1"/>
      <name val="Calibri"/>
      <family val="2"/>
      <scheme val="minor"/>
    </font>
    <font>
      <b/>
      <sz val="11"/>
      <color rgb="FFFF0000"/>
      <name val="Calibri"/>
      <family val="2"/>
      <scheme val="minor"/>
    </font>
    <font>
      <sz val="11"/>
      <color theme="1"/>
      <name val="Calibri"/>
      <family val="2"/>
    </font>
    <font>
      <b/>
      <sz val="11"/>
      <color rgb="FF000000"/>
      <name val="Calibri"/>
      <family val="2"/>
    </font>
    <font>
      <b/>
      <sz val="11"/>
      <color rgb="FFFF0000"/>
      <name val="Calibri"/>
      <family val="2"/>
    </font>
    <font>
      <sz val="16"/>
      <color theme="1"/>
      <name val="Calibri"/>
      <family val="2"/>
      <scheme val="minor"/>
    </font>
    <font>
      <sz val="18"/>
      <color theme="1"/>
      <name val="Calibri"/>
      <family val="2"/>
      <scheme val="minor"/>
    </font>
    <font>
      <sz val="22"/>
      <color theme="1"/>
      <name val="Calibri"/>
      <family val="2"/>
      <scheme val="minor"/>
    </font>
    <font>
      <b/>
      <sz val="12"/>
      <color theme="1"/>
      <name val="Calibri"/>
      <family val="2"/>
      <scheme val="minor"/>
    </font>
    <font>
      <sz val="11"/>
      <name val="Calibri"/>
      <family val="2"/>
      <scheme val="minor"/>
    </font>
    <font>
      <b/>
      <i/>
      <sz val="11"/>
      <color rgb="FFFF0000"/>
      <name val="Calibri"/>
      <family val="2"/>
      <scheme val="minor"/>
    </font>
    <font>
      <sz val="10"/>
      <color theme="1"/>
      <name val="Arial"/>
      <family val="2"/>
    </font>
    <font>
      <i/>
      <sz val="10"/>
      <color theme="1"/>
      <name val="Calibri"/>
      <family val="2"/>
      <scheme val="minor"/>
    </font>
    <font>
      <i/>
      <sz val="11"/>
      <color theme="1"/>
      <name val="Calibri"/>
      <family val="2"/>
      <scheme val="minor"/>
    </font>
    <font>
      <b/>
      <u/>
      <sz val="20"/>
      <color theme="1"/>
      <name val="Calibri"/>
      <family val="2"/>
      <scheme val="minor"/>
    </font>
    <font>
      <sz val="20"/>
      <color theme="1"/>
      <name val="Calibri"/>
      <family val="2"/>
      <scheme val="minor"/>
    </font>
    <font>
      <b/>
      <sz val="11"/>
      <color theme="4" tint="-0.499984740745262"/>
      <name val="Calibri"/>
      <family val="2"/>
      <scheme val="minor"/>
    </font>
    <font>
      <b/>
      <sz val="16"/>
      <color rgb="FFFF0000"/>
      <name val="Calibri"/>
      <family val="2"/>
      <scheme val="minor"/>
    </font>
    <font>
      <b/>
      <sz val="16"/>
      <color theme="1"/>
      <name val="Calibri"/>
      <family val="2"/>
      <charset val="238"/>
      <scheme val="minor"/>
    </font>
    <font>
      <b/>
      <sz val="16"/>
      <color rgb="FF000000"/>
      <name val="Calibri"/>
      <family val="2"/>
      <charset val="238"/>
      <scheme val="minor"/>
    </font>
    <font>
      <sz val="8"/>
      <color theme="8" tint="-0.249977111117893"/>
      <name val="Calibri"/>
      <family val="2"/>
      <charset val="238"/>
      <scheme val="minor"/>
    </font>
    <font>
      <sz val="8"/>
      <color theme="1"/>
      <name val="Calibri"/>
      <family val="2"/>
      <charset val="238"/>
      <scheme val="minor"/>
    </font>
    <font>
      <sz val="11"/>
      <color rgb="FFFF0000"/>
      <name val="Calibri"/>
      <family val="2"/>
      <charset val="238"/>
      <scheme val="minor"/>
    </font>
    <font>
      <sz val="8"/>
      <color rgb="FFFF0000"/>
      <name val="Calibri"/>
      <family val="2"/>
      <scheme val="minor"/>
    </font>
    <font>
      <sz val="9"/>
      <color indexed="81"/>
      <name val="Tahoma"/>
      <family val="2"/>
    </font>
    <font>
      <sz val="11"/>
      <color rgb="FF000000"/>
      <name val="Calibri"/>
      <family val="2"/>
    </font>
    <font>
      <b/>
      <sz val="16"/>
      <color theme="3" tint="0.59999389629810485"/>
      <name val="Calibri"/>
      <family val="2"/>
      <scheme val="minor"/>
    </font>
    <font>
      <sz val="11"/>
      <color theme="3" tint="0.59999389629810485"/>
      <name val="Calibri"/>
      <family val="2"/>
      <scheme val="minor"/>
    </font>
    <font>
      <sz val="11"/>
      <color rgb="FF92D050"/>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D9E1F2"/>
        <bgColor rgb="FF000000"/>
      </patternFill>
    </fill>
    <fill>
      <patternFill patternType="solid">
        <fgColor rgb="FFFFFF00"/>
        <bgColor rgb="FF000000"/>
      </patternFill>
    </fill>
    <fill>
      <patternFill patternType="solid">
        <fgColor rgb="FFDDEBF7"/>
        <bgColor rgb="FF000000"/>
      </patternFill>
    </fill>
    <fill>
      <patternFill patternType="solid">
        <fgColor rgb="FF92D050"/>
        <bgColor rgb="FF000000"/>
      </patternFill>
    </fill>
    <fill>
      <patternFill patternType="solid">
        <fgColor theme="9" tint="0.39997558519241921"/>
        <bgColor indexed="64"/>
      </patternFill>
    </fill>
    <fill>
      <patternFill patternType="solid">
        <fgColor rgb="FF00B050"/>
        <bgColor indexed="64"/>
      </patternFill>
    </fill>
    <fill>
      <patternFill patternType="solid">
        <fgColor rgb="FF36DFF6"/>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00CCFF"/>
        <bgColor indexed="64"/>
      </patternFill>
    </fill>
    <fill>
      <patternFill patternType="solid">
        <fgColor rgb="FF66FFCC"/>
        <bgColor indexed="64"/>
      </patternFill>
    </fill>
    <fill>
      <patternFill patternType="solid">
        <fgColor rgb="FFFFFFFF"/>
        <bgColor indexed="64"/>
      </patternFill>
    </fill>
    <fill>
      <patternFill patternType="solid">
        <fgColor theme="2" tint="-9.9978637043366805E-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diagonal/>
    </border>
  </borders>
  <cellStyleXfs count="2">
    <xf numFmtId="0" fontId="0" fillId="0" borderId="0"/>
    <xf numFmtId="0" fontId="5" fillId="0" borderId="0"/>
  </cellStyleXfs>
  <cellXfs count="242">
    <xf numFmtId="0" fontId="0" fillId="0" borderId="0" xfId="0"/>
    <xf numFmtId="0" fontId="0" fillId="0" borderId="1" xfId="0" applyBorder="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0" fillId="3" borderId="3" xfId="0" applyFill="1" applyBorder="1"/>
    <xf numFmtId="0" fontId="0" fillId="3" borderId="1" xfId="0" applyFill="1" applyBorder="1"/>
    <xf numFmtId="0" fontId="0" fillId="3" borderId="4" xfId="0" applyFill="1" applyBorder="1"/>
    <xf numFmtId="0" fontId="0" fillId="3" borderId="6" xfId="0" applyFill="1" applyBorder="1"/>
    <xf numFmtId="0" fontId="2" fillId="0" borderId="0" xfId="0" applyFont="1"/>
    <xf numFmtId="0" fontId="5" fillId="0" borderId="0" xfId="0" applyFont="1" applyFill="1" applyBorder="1"/>
    <xf numFmtId="0" fontId="6" fillId="4" borderId="11" xfId="0" applyFont="1" applyFill="1" applyBorder="1" applyAlignment="1">
      <alignment horizontal="center" vertical="center" wrapText="1"/>
    </xf>
    <xf numFmtId="0" fontId="5" fillId="0" borderId="1" xfId="0" applyFont="1" applyFill="1" applyBorder="1" applyAlignment="1">
      <alignment vertical="center" wrapText="1"/>
    </xf>
    <xf numFmtId="0" fontId="5" fillId="0" borderId="1" xfId="0" applyFont="1" applyFill="1" applyBorder="1" applyAlignment="1">
      <alignment vertical="center"/>
    </xf>
    <xf numFmtId="0" fontId="5" fillId="0" borderId="1" xfId="0" applyFont="1" applyFill="1" applyBorder="1" applyAlignment="1">
      <alignment wrapText="1"/>
    </xf>
    <xf numFmtId="0" fontId="5" fillId="0" borderId="6" xfId="0" applyFont="1" applyFill="1" applyBorder="1" applyAlignment="1">
      <alignment vertical="center" wrapText="1"/>
    </xf>
    <xf numFmtId="14" fontId="6" fillId="6" borderId="8" xfId="0" applyNumberFormat="1" applyFont="1" applyFill="1" applyBorder="1" applyAlignment="1">
      <alignment vertical="center"/>
    </xf>
    <xf numFmtId="0" fontId="6" fillId="0" borderId="8" xfId="0" applyNumberFormat="1" applyFont="1" applyFill="1" applyBorder="1" applyAlignment="1">
      <alignment vertical="center"/>
    </xf>
    <xf numFmtId="0" fontId="6" fillId="0" borderId="8" xfId="0" applyFont="1" applyFill="1" applyBorder="1" applyAlignment="1">
      <alignment vertical="center"/>
    </xf>
    <xf numFmtId="2" fontId="6" fillId="6" borderId="8" xfId="0" applyNumberFormat="1" applyFont="1" applyFill="1" applyBorder="1" applyAlignment="1">
      <alignment vertical="center"/>
    </xf>
    <xf numFmtId="2" fontId="6" fillId="0" borderId="10" xfId="0" applyNumberFormat="1" applyFont="1" applyFill="1" applyBorder="1" applyAlignment="1">
      <alignment vertical="center"/>
    </xf>
    <xf numFmtId="0" fontId="5" fillId="0" borderId="0" xfId="0" applyFont="1" applyFill="1" applyBorder="1" applyAlignment="1">
      <alignment horizontal="center" vertical="center" wrapText="1"/>
    </xf>
    <xf numFmtId="14" fontId="5" fillId="0" borderId="0" xfId="0" applyNumberFormat="1" applyFont="1" applyFill="1" applyBorder="1" applyAlignment="1">
      <alignment vertical="center"/>
    </xf>
    <xf numFmtId="0" fontId="5" fillId="0" borderId="22" xfId="0" applyNumberFormat="1" applyFont="1" applyFill="1" applyBorder="1" applyAlignment="1">
      <alignment vertical="center"/>
    </xf>
    <xf numFmtId="0" fontId="5" fillId="0" borderId="23" xfId="0" applyFont="1" applyFill="1" applyBorder="1" applyAlignment="1">
      <alignment vertical="center"/>
    </xf>
    <xf numFmtId="2" fontId="5" fillId="0" borderId="24" xfId="0" applyNumberFormat="1" applyFont="1" applyFill="1" applyBorder="1" applyAlignment="1">
      <alignment vertical="center"/>
    </xf>
    <xf numFmtId="0" fontId="5" fillId="0" borderId="24" xfId="0" applyFont="1" applyFill="1" applyBorder="1" applyAlignment="1">
      <alignment vertical="center"/>
    </xf>
    <xf numFmtId="0" fontId="6" fillId="0" borderId="8" xfId="0" applyFont="1" applyFill="1" applyBorder="1" applyAlignment="1">
      <alignment vertical="center" wrapText="1"/>
    </xf>
    <xf numFmtId="0" fontId="6" fillId="0" borderId="8" xfId="0" applyFont="1" applyFill="1" applyBorder="1" applyAlignment="1">
      <alignment wrapText="1"/>
    </xf>
    <xf numFmtId="2" fontId="6" fillId="0" borderId="10" xfId="0" applyNumberFormat="1" applyFont="1" applyFill="1" applyBorder="1" applyAlignment="1">
      <alignment vertical="center" wrapText="1"/>
    </xf>
    <xf numFmtId="0" fontId="5" fillId="0" borderId="0" xfId="0" applyFont="1" applyFill="1" applyBorder="1" applyAlignment="1">
      <alignment vertical="center" wrapText="1"/>
    </xf>
    <xf numFmtId="0" fontId="5" fillId="0" borderId="0" xfId="0" applyFont="1" applyFill="1" applyBorder="1" applyAlignment="1">
      <alignment vertical="center"/>
    </xf>
    <xf numFmtId="0" fontId="5" fillId="0" borderId="0" xfId="0" applyFont="1" applyFill="1" applyBorder="1" applyAlignment="1">
      <alignment wrapText="1"/>
    </xf>
    <xf numFmtId="166" fontId="5" fillId="0" borderId="0" xfId="0" applyNumberFormat="1" applyFont="1" applyFill="1" applyBorder="1" applyAlignment="1">
      <alignment vertical="center"/>
    </xf>
    <xf numFmtId="0" fontId="7" fillId="7" borderId="0" xfId="0" applyFont="1" applyFill="1" applyBorder="1"/>
    <xf numFmtId="0" fontId="6" fillId="0" borderId="0" xfId="0" applyFont="1" applyFill="1" applyBorder="1"/>
    <xf numFmtId="0" fontId="0" fillId="0" borderId="0" xfId="0" applyAlignment="1">
      <alignment horizontal="center"/>
    </xf>
    <xf numFmtId="0" fontId="0" fillId="0" borderId="0" xfId="0" applyAlignment="1">
      <alignment horizontal="center" vertical="center"/>
    </xf>
    <xf numFmtId="14" fontId="0" fillId="0" borderId="1" xfId="0" applyNumberFormat="1" applyBorder="1" applyAlignment="1">
      <alignment horizontal="center" vertical="center"/>
    </xf>
    <xf numFmtId="0" fontId="4" fillId="0" borderId="1" xfId="0" applyFont="1" applyBorder="1" applyAlignment="1">
      <alignment horizontal="center" vertical="center"/>
    </xf>
    <xf numFmtId="2" fontId="4" fillId="0" borderId="1" xfId="0" applyNumberFormat="1" applyFont="1" applyBorder="1" applyAlignment="1">
      <alignment horizontal="center" vertical="center"/>
    </xf>
    <xf numFmtId="0"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6" xfId="0" applyBorder="1" applyAlignment="1">
      <alignment horizontal="center" vertical="center"/>
    </xf>
    <xf numFmtId="0" fontId="0" fillId="0" borderId="2" xfId="0" applyBorder="1" applyAlignment="1"/>
    <xf numFmtId="0" fontId="0" fillId="0" borderId="11" xfId="0" applyBorder="1" applyAlignment="1"/>
    <xf numFmtId="0" fontId="0" fillId="3" borderId="14" xfId="0" applyFill="1" applyBorder="1" applyAlignment="1"/>
    <xf numFmtId="0" fontId="10" fillId="3" borderId="15" xfId="0" applyFont="1" applyFill="1" applyBorder="1" applyAlignment="1">
      <alignment horizontal="center"/>
    </xf>
    <xf numFmtId="0" fontId="10" fillId="3" borderId="16" xfId="0" applyFont="1" applyFill="1" applyBorder="1" applyAlignment="1">
      <alignment horizontal="center" vertical="center"/>
    </xf>
    <xf numFmtId="168" fontId="0" fillId="0" borderId="0" xfId="0" applyNumberFormat="1"/>
    <xf numFmtId="0" fontId="12" fillId="0" borderId="1" xfId="0" applyNumberFormat="1" applyFont="1" applyFill="1" applyBorder="1" applyAlignment="1">
      <alignment horizontal="center" vertical="center"/>
    </xf>
    <xf numFmtId="0" fontId="0" fillId="0" borderId="1" xfId="0" applyNumberFormat="1" applyFill="1" applyBorder="1" applyAlignment="1">
      <alignment horizontal="center" vertical="center"/>
    </xf>
    <xf numFmtId="0" fontId="0" fillId="0" borderId="0" xfId="0" applyNumberFormat="1"/>
    <xf numFmtId="0" fontId="8" fillId="10" borderId="4" xfId="0" applyFont="1" applyFill="1" applyBorder="1" applyAlignment="1">
      <alignment horizontal="center" vertical="center"/>
    </xf>
    <xf numFmtId="0" fontId="0" fillId="10" borderId="1" xfId="0" applyFill="1" applyBorder="1"/>
    <xf numFmtId="0" fontId="0" fillId="10" borderId="1" xfId="0" applyFill="1" applyBorder="1" applyAlignment="1">
      <alignment horizontal="center" vertical="center"/>
    </xf>
    <xf numFmtId="0" fontId="0" fillId="10" borderId="6" xfId="0" applyFill="1" applyBorder="1" applyAlignment="1">
      <alignment horizontal="center" vertical="center"/>
    </xf>
    <xf numFmtId="0" fontId="0" fillId="10" borderId="1" xfId="0" applyFill="1" applyBorder="1" applyAlignment="1">
      <alignment horizontal="left" vertical="center"/>
    </xf>
    <xf numFmtId="167" fontId="0" fillId="10" borderId="1" xfId="0" applyNumberFormat="1" applyFill="1" applyBorder="1"/>
    <xf numFmtId="2" fontId="0" fillId="10" borderId="6" xfId="0" applyNumberFormat="1" applyFill="1" applyBorder="1" applyAlignment="1">
      <alignment horizontal="center"/>
    </xf>
    <xf numFmtId="2" fontId="4" fillId="0" borderId="6" xfId="0" applyNumberFormat="1" applyFont="1" applyFill="1" applyBorder="1" applyAlignment="1">
      <alignment horizontal="center" vertical="center"/>
    </xf>
    <xf numFmtId="0" fontId="13" fillId="0" borderId="6" xfId="0" applyFont="1" applyFill="1" applyBorder="1" applyAlignment="1">
      <alignment horizontal="center"/>
    </xf>
    <xf numFmtId="2" fontId="12" fillId="0" borderId="1" xfId="0" applyNumberFormat="1" applyFont="1" applyFill="1" applyBorder="1" applyAlignment="1">
      <alignment horizontal="center" vertical="center"/>
    </xf>
    <xf numFmtId="0" fontId="0" fillId="0" borderId="6"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0" fontId="3" fillId="0" borderId="37" xfId="0" applyFont="1" applyBorder="1" applyAlignment="1">
      <alignment horizontal="center"/>
    </xf>
    <xf numFmtId="0" fontId="0" fillId="0" borderId="37" xfId="0" applyBorder="1" applyAlignment="1">
      <alignment horizontal="center" wrapText="1"/>
    </xf>
    <xf numFmtId="0" fontId="0" fillId="0" borderId="38" xfId="0" applyBorder="1" applyAlignment="1">
      <alignment horizontal="center" wrapText="1"/>
    </xf>
    <xf numFmtId="0" fontId="2" fillId="0" borderId="38" xfId="0" applyFont="1" applyBorder="1" applyAlignment="1">
      <alignment horizontal="center" wrapText="1"/>
    </xf>
    <xf numFmtId="0" fontId="2" fillId="0" borderId="39" xfId="0" applyFont="1" applyBorder="1" applyAlignment="1">
      <alignment horizontal="center" wrapText="1"/>
    </xf>
    <xf numFmtId="0" fontId="0" fillId="0" borderId="40" xfId="0" applyBorder="1" applyAlignment="1">
      <alignment wrapText="1"/>
    </xf>
    <xf numFmtId="0" fontId="0" fillId="0" borderId="35" xfId="0" applyBorder="1" applyAlignment="1">
      <alignment horizontal="center"/>
    </xf>
    <xf numFmtId="0" fontId="14" fillId="0" borderId="0" xfId="0" applyFont="1" applyAlignment="1">
      <alignment horizontal="center" vertical="center"/>
    </xf>
    <xf numFmtId="4" fontId="0" fillId="0" borderId="41" xfId="0" applyNumberFormat="1" applyBorder="1" applyAlignment="1">
      <alignment horizontal="center"/>
    </xf>
    <xf numFmtId="0" fontId="0" fillId="0" borderId="41" xfId="0" applyBorder="1" applyAlignment="1">
      <alignment horizontal="center"/>
    </xf>
    <xf numFmtId="0" fontId="0" fillId="0" borderId="0" xfId="0" applyFont="1" applyAlignment="1">
      <alignment horizontal="center" vertical="top"/>
    </xf>
    <xf numFmtId="0" fontId="0" fillId="0" borderId="28" xfId="0" applyBorder="1" applyAlignment="1">
      <alignment horizontal="center"/>
    </xf>
    <xf numFmtId="4" fontId="2" fillId="0" borderId="28" xfId="0" applyNumberFormat="1" applyFont="1" applyBorder="1" applyAlignment="1">
      <alignment horizontal="center"/>
    </xf>
    <xf numFmtId="4" fontId="0" fillId="0" borderId="32" xfId="0" applyNumberFormat="1" applyBorder="1"/>
    <xf numFmtId="0" fontId="0" fillId="0" borderId="5" xfId="0" applyBorder="1" applyAlignment="1">
      <alignment horizontal="center"/>
    </xf>
    <xf numFmtId="0" fontId="0" fillId="0" borderId="1" xfId="0" applyBorder="1" applyAlignment="1">
      <alignment horizontal="center"/>
    </xf>
    <xf numFmtId="0" fontId="0" fillId="0" borderId="31" xfId="0" applyBorder="1" applyAlignment="1">
      <alignment horizontal="center"/>
    </xf>
    <xf numFmtId="0" fontId="2" fillId="0" borderId="31" xfId="0" applyFont="1" applyBorder="1" applyAlignment="1">
      <alignment horizontal="center"/>
    </xf>
    <xf numFmtId="0" fontId="0" fillId="0" borderId="6" xfId="0" applyBorder="1"/>
    <xf numFmtId="0" fontId="0" fillId="0" borderId="7" xfId="0" applyBorder="1" applyAlignment="1">
      <alignment horizontal="center"/>
    </xf>
    <xf numFmtId="0" fontId="0" fillId="0" borderId="8" xfId="0" applyBorder="1" applyAlignment="1">
      <alignment horizontal="center"/>
    </xf>
    <xf numFmtId="0" fontId="0" fillId="0" borderId="42" xfId="0" applyBorder="1" applyAlignment="1">
      <alignment horizontal="center"/>
    </xf>
    <xf numFmtId="0" fontId="2" fillId="0" borderId="42" xfId="0" applyFont="1" applyBorder="1" applyAlignment="1">
      <alignment horizontal="center"/>
    </xf>
    <xf numFmtId="0" fontId="0" fillId="0" borderId="10" xfId="0" applyBorder="1"/>
    <xf numFmtId="0" fontId="3" fillId="0" borderId="37" xfId="0" applyFont="1" applyBorder="1" applyAlignment="1">
      <alignment horizontal="center" wrapText="1"/>
    </xf>
    <xf numFmtId="165" fontId="0" fillId="0" borderId="23" xfId="0" applyNumberFormat="1" applyFill="1" applyBorder="1" applyAlignment="1">
      <alignment horizontal="center"/>
    </xf>
    <xf numFmtId="4" fontId="2" fillId="0" borderId="41" xfId="0" applyNumberFormat="1" applyFont="1" applyBorder="1"/>
    <xf numFmtId="164" fontId="0" fillId="2" borderId="1" xfId="0" applyNumberFormat="1" applyFill="1" applyBorder="1"/>
    <xf numFmtId="165" fontId="0" fillId="2" borderId="1" xfId="0" applyNumberFormat="1" applyFill="1" applyBorder="1"/>
    <xf numFmtId="164" fontId="0" fillId="2" borderId="6" xfId="0" applyNumberFormat="1" applyFill="1" applyBorder="1"/>
    <xf numFmtId="14" fontId="0" fillId="2" borderId="1" xfId="0" applyNumberFormat="1" applyFill="1" applyBorder="1"/>
    <xf numFmtId="14" fontId="0" fillId="2" borderId="6" xfId="0" applyNumberFormat="1" applyFill="1" applyBorder="1"/>
    <xf numFmtId="9" fontId="0" fillId="2" borderId="6" xfId="0" applyNumberFormat="1" applyFill="1" applyBorder="1"/>
    <xf numFmtId="0" fontId="16" fillId="10" borderId="6" xfId="0" applyFont="1" applyFill="1" applyBorder="1" applyAlignment="1">
      <alignment horizontal="center" vertical="center"/>
    </xf>
    <xf numFmtId="0" fontId="3" fillId="8" borderId="7" xfId="0" applyFont="1" applyFill="1" applyBorder="1" applyAlignment="1">
      <alignment horizontal="center" vertical="center" textRotation="90"/>
    </xf>
    <xf numFmtId="0" fontId="0" fillId="10" borderId="8" xfId="0" applyFill="1" applyBorder="1"/>
    <xf numFmtId="0" fontId="15" fillId="10" borderId="10" xfId="0" applyFont="1" applyFill="1" applyBorder="1" applyAlignment="1">
      <alignment horizontal="center" vertical="center"/>
    </xf>
    <xf numFmtId="167" fontId="3" fillId="10" borderId="8" xfId="0" applyNumberFormat="1" applyFont="1" applyFill="1" applyBorder="1"/>
    <xf numFmtId="0" fontId="17" fillId="11" borderId="0" xfId="0" applyFont="1" applyFill="1"/>
    <xf numFmtId="0" fontId="17" fillId="11" borderId="0" xfId="0" applyFont="1" applyFill="1" applyAlignment="1">
      <alignment horizontal="center" vertical="center"/>
    </xf>
    <xf numFmtId="0" fontId="0" fillId="11" borderId="0" xfId="0" applyFill="1"/>
    <xf numFmtId="0" fontId="0" fillId="2" borderId="31" xfId="0" applyFill="1" applyBorder="1" applyAlignment="1">
      <alignment horizontal="center" vertical="center"/>
    </xf>
    <xf numFmtId="0" fontId="18" fillId="9" borderId="44" xfId="0" applyFont="1" applyFill="1" applyBorder="1" applyAlignment="1">
      <alignment horizontal="center" vertical="center"/>
    </xf>
    <xf numFmtId="169" fontId="0" fillId="0" borderId="1" xfId="0" applyNumberFormat="1" applyBorder="1" applyAlignment="1">
      <alignment horizontal="center" vertical="center"/>
    </xf>
    <xf numFmtId="170" fontId="0" fillId="0" borderId="1" xfId="0" applyNumberFormat="1" applyBorder="1" applyAlignment="1">
      <alignment horizontal="center" vertical="center"/>
    </xf>
    <xf numFmtId="0" fontId="0" fillId="10" borderId="34" xfId="0" applyFill="1" applyBorder="1" applyAlignment="1">
      <alignment horizontal="center" vertical="center"/>
    </xf>
    <xf numFmtId="168" fontId="0" fillId="0" borderId="1" xfId="0" applyNumberFormat="1" applyBorder="1" applyAlignment="1">
      <alignment horizontal="center" vertical="center"/>
    </xf>
    <xf numFmtId="0" fontId="0" fillId="10" borderId="6" xfId="0" applyFill="1" applyBorder="1" applyAlignment="1"/>
    <xf numFmtId="0" fontId="0" fillId="10" borderId="46" xfId="0" applyFill="1" applyBorder="1" applyAlignment="1">
      <alignment horizontal="center" vertical="center"/>
    </xf>
    <xf numFmtId="0" fontId="0" fillId="8" borderId="47" xfId="0" applyFill="1" applyBorder="1"/>
    <xf numFmtId="0" fontId="0" fillId="8" borderId="48" xfId="0" applyFill="1" applyBorder="1"/>
    <xf numFmtId="0" fontId="0" fillId="10" borderId="34" xfId="0" applyFill="1" applyBorder="1"/>
    <xf numFmtId="0" fontId="0" fillId="10" borderId="46" xfId="0" applyFill="1" applyBorder="1" applyAlignment="1">
      <alignment horizontal="left" vertical="center"/>
    </xf>
    <xf numFmtId="0" fontId="4" fillId="12" borderId="1" xfId="0" applyNumberFormat="1" applyFont="1" applyFill="1" applyBorder="1" applyAlignment="1">
      <alignment horizontal="center" vertical="center"/>
    </xf>
    <xf numFmtId="0" fontId="4" fillId="12" borderId="34" xfId="0" applyNumberFormat="1" applyFont="1" applyFill="1" applyBorder="1" applyAlignment="1">
      <alignment horizontal="center" vertical="center"/>
    </xf>
    <xf numFmtId="2" fontId="4" fillId="12" borderId="1" xfId="0" applyNumberFormat="1" applyFont="1" applyFill="1" applyBorder="1" applyAlignment="1">
      <alignment horizontal="center" vertical="center"/>
    </xf>
    <xf numFmtId="171" fontId="4" fillId="0" borderId="1" xfId="0" applyNumberFormat="1" applyFont="1" applyBorder="1" applyAlignment="1">
      <alignment horizontal="center"/>
    </xf>
    <xf numFmtId="0" fontId="0" fillId="10" borderId="34" xfId="0" applyFont="1" applyFill="1" applyBorder="1" applyAlignment="1">
      <alignment horizontal="center" vertical="center"/>
    </xf>
    <xf numFmtId="0" fontId="4" fillId="11" borderId="45" xfId="0" applyFont="1" applyFill="1" applyBorder="1" applyAlignment="1">
      <alignment horizontal="center" vertical="center"/>
    </xf>
    <xf numFmtId="0" fontId="4" fillId="12" borderId="49" xfId="0" applyFont="1" applyFill="1" applyBorder="1" applyAlignment="1">
      <alignment horizontal="center"/>
    </xf>
    <xf numFmtId="0" fontId="4" fillId="0" borderId="1" xfId="0" applyNumberFormat="1" applyFont="1" applyBorder="1" applyAlignment="1">
      <alignment horizontal="center"/>
    </xf>
    <xf numFmtId="0" fontId="21" fillId="14" borderId="1" xfId="0" applyFont="1" applyFill="1" applyBorder="1" applyAlignment="1">
      <alignment horizontal="center" vertical="center"/>
    </xf>
    <xf numFmtId="0" fontId="22" fillId="14" borderId="1" xfId="0" applyFont="1" applyFill="1" applyBorder="1" applyAlignment="1">
      <alignment horizontal="center" vertical="center"/>
    </xf>
    <xf numFmtId="0" fontId="23" fillId="15" borderId="1" xfId="0" applyFont="1" applyFill="1" applyBorder="1" applyAlignment="1">
      <alignment horizontal="center" vertical="center" wrapText="1"/>
    </xf>
    <xf numFmtId="0" fontId="0" fillId="0" borderId="1" xfId="0" applyBorder="1" applyAlignment="1">
      <alignment horizontal="justify" vertical="center"/>
    </xf>
    <xf numFmtId="0" fontId="24" fillId="0" borderId="1" xfId="0" applyFont="1" applyBorder="1" applyAlignment="1">
      <alignment horizontal="justify" vertical="center"/>
    </xf>
    <xf numFmtId="0" fontId="0" fillId="0" borderId="1" xfId="0" applyBorder="1" applyAlignment="1">
      <alignment horizontal="left" vertical="center" indent="1"/>
    </xf>
    <xf numFmtId="0" fontId="0" fillId="11" borderId="1" xfId="0" applyFill="1" applyBorder="1" applyAlignment="1">
      <alignment horizontal="justify" vertical="center"/>
    </xf>
    <xf numFmtId="0" fontId="25" fillId="11" borderId="1" xfId="0" applyFont="1" applyFill="1" applyBorder="1" applyAlignment="1">
      <alignment horizontal="justify" vertical="center"/>
    </xf>
    <xf numFmtId="0" fontId="0" fillId="0" borderId="1" xfId="0" applyBorder="1" applyAlignment="1">
      <alignment vertical="center"/>
    </xf>
    <xf numFmtId="0" fontId="0" fillId="0" borderId="1" xfId="0" applyBorder="1" applyAlignment="1">
      <alignment horizontal="left" vertical="center"/>
    </xf>
    <xf numFmtId="0" fontId="0" fillId="0" borderId="41" xfId="0" applyBorder="1"/>
    <xf numFmtId="0" fontId="0" fillId="0" borderId="41" xfId="0" applyBorder="1" applyAlignment="1">
      <alignment vertical="center"/>
    </xf>
    <xf numFmtId="0" fontId="0" fillId="0" borderId="41" xfId="0" applyBorder="1" applyAlignment="1">
      <alignment horizontal="justify" vertical="center"/>
    </xf>
    <xf numFmtId="0" fontId="0" fillId="11" borderId="41" xfId="0" applyFill="1" applyBorder="1" applyAlignment="1">
      <alignment horizontal="justify" vertical="center"/>
    </xf>
    <xf numFmtId="0" fontId="0" fillId="0" borderId="1" xfId="0" applyFont="1" applyBorder="1" applyAlignment="1">
      <alignment horizontal="justify" vertical="center"/>
    </xf>
    <xf numFmtId="0" fontId="2" fillId="11" borderId="1" xfId="0" applyFont="1" applyFill="1" applyBorder="1" applyAlignment="1">
      <alignment horizontal="justify" vertical="center"/>
    </xf>
    <xf numFmtId="169" fontId="4" fillId="11" borderId="1" xfId="0" applyNumberFormat="1" applyFont="1" applyFill="1" applyBorder="1" applyAlignment="1">
      <alignment horizontal="center" vertical="center"/>
    </xf>
    <xf numFmtId="0" fontId="0" fillId="0" borderId="1" xfId="0" applyBorder="1" applyAlignment="1">
      <alignment horizontal="center" vertical="center"/>
    </xf>
    <xf numFmtId="173" fontId="19" fillId="0" borderId="1" xfId="0" applyNumberFormat="1" applyFont="1" applyBorder="1" applyAlignment="1">
      <alignment horizontal="center"/>
    </xf>
    <xf numFmtId="174" fontId="4" fillId="12" borderId="1" xfId="0" applyNumberFormat="1" applyFont="1" applyFill="1" applyBorder="1" applyAlignment="1">
      <alignment horizontal="center" vertical="center"/>
    </xf>
    <xf numFmtId="174" fontId="4" fillId="0" borderId="1" xfId="0" applyNumberFormat="1" applyFont="1" applyBorder="1" applyAlignment="1">
      <alignment horizontal="center" vertical="center"/>
    </xf>
    <xf numFmtId="169" fontId="4" fillId="12" borderId="1" xfId="0" applyNumberFormat="1" applyFont="1" applyFill="1" applyBorder="1" applyAlignment="1">
      <alignment horizontal="center" vertical="center"/>
    </xf>
    <xf numFmtId="0" fontId="0" fillId="12" borderId="49" xfId="0" applyFont="1" applyFill="1" applyBorder="1" applyAlignment="1">
      <alignment horizontal="center"/>
    </xf>
    <xf numFmtId="0" fontId="0" fillId="0" borderId="0" xfId="0" applyFont="1" applyAlignment="1">
      <alignment horizontal="center" vertical="center"/>
    </xf>
    <xf numFmtId="0" fontId="0" fillId="0" borderId="0" xfId="0" applyFont="1"/>
    <xf numFmtId="2" fontId="0" fillId="0" borderId="0" xfId="0" applyNumberFormat="1" applyFont="1" applyAlignment="1">
      <alignment horizontal="center" vertical="center"/>
    </xf>
    <xf numFmtId="0" fontId="4" fillId="13" borderId="1" xfId="0" applyFont="1" applyFill="1" applyBorder="1" applyAlignment="1">
      <alignment horizontal="center"/>
    </xf>
    <xf numFmtId="171" fontId="4" fillId="12" borderId="1" xfId="0" applyNumberFormat="1" applyFont="1" applyFill="1" applyBorder="1" applyAlignment="1">
      <alignment horizontal="center"/>
    </xf>
    <xf numFmtId="14" fontId="0" fillId="10" borderId="10" xfId="0" applyNumberFormat="1" applyFill="1" applyBorder="1"/>
    <xf numFmtId="14" fontId="0" fillId="0" borderId="0" xfId="0" applyNumberFormat="1"/>
    <xf numFmtId="169" fontId="0" fillId="0" borderId="0" xfId="0" applyNumberFormat="1" applyAlignment="1">
      <alignment horizontal="center"/>
    </xf>
    <xf numFmtId="0" fontId="0" fillId="2" borderId="37" xfId="0" applyFill="1" applyBorder="1" applyAlignment="1">
      <alignment horizontal="center" wrapText="1"/>
    </xf>
    <xf numFmtId="172" fontId="4" fillId="13" borderId="6" xfId="0" applyNumberFormat="1" applyFont="1" applyFill="1" applyBorder="1" applyAlignment="1">
      <alignment horizontal="center" vertical="center"/>
    </xf>
    <xf numFmtId="1" fontId="0" fillId="0" borderId="41" xfId="0" applyNumberFormat="1" applyBorder="1" applyAlignment="1">
      <alignment horizontal="center"/>
    </xf>
    <xf numFmtId="1" fontId="0" fillId="0" borderId="0" xfId="0" applyNumberFormat="1" applyBorder="1" applyAlignment="1">
      <alignment horizontal="center"/>
    </xf>
    <xf numFmtId="0" fontId="0" fillId="0" borderId="0" xfId="0" applyBorder="1" applyAlignment="1">
      <alignment horizontal="center"/>
    </xf>
    <xf numFmtId="169" fontId="0" fillId="0" borderId="0" xfId="0" applyNumberFormat="1" applyBorder="1" applyAlignment="1">
      <alignment horizontal="center"/>
    </xf>
    <xf numFmtId="0" fontId="0" fillId="10" borderId="1" xfId="0" applyFill="1" applyBorder="1" applyAlignment="1">
      <alignment horizontal="center"/>
    </xf>
    <xf numFmtId="169" fontId="0" fillId="13" borderId="1" xfId="0" applyNumberFormat="1" applyFill="1" applyBorder="1" applyAlignment="1">
      <alignment horizontal="center"/>
    </xf>
    <xf numFmtId="0" fontId="0" fillId="0" borderId="0" xfId="0" applyAlignment="1">
      <alignment horizontal="left" vertical="center"/>
    </xf>
    <xf numFmtId="175" fontId="4" fillId="12" borderId="1" xfId="0" applyNumberFormat="1" applyFont="1" applyFill="1" applyBorder="1" applyAlignment="1">
      <alignment horizontal="center" vertical="center"/>
    </xf>
    <xf numFmtId="176" fontId="4" fillId="11" borderId="10" xfId="0" applyNumberFormat="1" applyFont="1" applyFill="1" applyBorder="1" applyAlignment="1">
      <alignment horizontal="center"/>
    </xf>
    <xf numFmtId="173" fontId="19" fillId="16" borderId="1" xfId="0" applyNumberFormat="1" applyFont="1" applyFill="1" applyBorder="1" applyAlignment="1">
      <alignment horizontal="center"/>
    </xf>
    <xf numFmtId="2" fontId="29" fillId="12" borderId="52" xfId="0" applyNumberFormat="1" applyFont="1" applyFill="1" applyBorder="1" applyAlignment="1">
      <alignment horizontal="center"/>
    </xf>
    <xf numFmtId="172" fontId="0" fillId="0" borderId="0" xfId="0" applyNumberFormat="1"/>
    <xf numFmtId="2" fontId="30" fillId="10" borderId="6" xfId="0" applyNumberFormat="1" applyFont="1" applyFill="1" applyBorder="1" applyAlignment="1">
      <alignment horizontal="center"/>
    </xf>
    <xf numFmtId="0" fontId="3" fillId="10" borderId="1" xfId="0" applyFont="1" applyFill="1" applyBorder="1" applyAlignment="1">
      <alignment horizontal="center" vertical="center"/>
    </xf>
    <xf numFmtId="4" fontId="4" fillId="17" borderId="0" xfId="0" applyNumberFormat="1" applyFont="1" applyFill="1" applyAlignment="1">
      <alignment horizontal="center"/>
    </xf>
    <xf numFmtId="4" fontId="4" fillId="17" borderId="1" xfId="0" applyNumberFormat="1" applyFont="1" applyFill="1" applyBorder="1" applyAlignment="1">
      <alignment horizontal="center" vertical="center"/>
    </xf>
    <xf numFmtId="174" fontId="4" fillId="17" borderId="1" xfId="0" applyNumberFormat="1" applyFont="1" applyFill="1" applyBorder="1" applyAlignment="1">
      <alignment horizontal="center" vertical="center"/>
    </xf>
    <xf numFmtId="169" fontId="0" fillId="12" borderId="1" xfId="0" applyNumberFormat="1" applyFont="1" applyFill="1" applyBorder="1" applyAlignment="1">
      <alignment horizontal="center" vertical="center"/>
    </xf>
    <xf numFmtId="0" fontId="0" fillId="10" borderId="46" xfId="0" applyFill="1" applyBorder="1" applyAlignment="1">
      <alignment horizontal="center"/>
    </xf>
    <xf numFmtId="169" fontId="0" fillId="13" borderId="45" xfId="0" applyNumberFormat="1" applyFont="1" applyFill="1" applyBorder="1" applyAlignment="1">
      <alignment horizontal="center" vertical="center"/>
    </xf>
    <xf numFmtId="14" fontId="0" fillId="0" borderId="0" xfId="0" applyNumberFormat="1" applyFont="1"/>
    <xf numFmtId="14" fontId="4" fillId="12" borderId="1" xfId="0" applyNumberFormat="1" applyFont="1" applyFill="1" applyBorder="1" applyAlignment="1">
      <alignment horizontal="center" vertical="center"/>
    </xf>
    <xf numFmtId="177" fontId="4" fillId="12" borderId="1" xfId="0" applyNumberFormat="1" applyFont="1" applyFill="1" applyBorder="1" applyAlignment="1">
      <alignment horizontal="center" vertical="center"/>
    </xf>
    <xf numFmtId="0" fontId="31" fillId="8" borderId="47" xfId="0" applyFont="1" applyFill="1" applyBorder="1"/>
    <xf numFmtId="0" fontId="31" fillId="8" borderId="48" xfId="0" applyFont="1" applyFill="1" applyBorder="1"/>
    <xf numFmtId="2" fontId="0" fillId="0" borderId="0" xfId="0" applyNumberFormat="1" applyFont="1" applyAlignment="1">
      <alignment horizontal="right" vertical="center"/>
    </xf>
    <xf numFmtId="178" fontId="0" fillId="10" borderId="6" xfId="0" applyNumberFormat="1" applyFill="1" applyBorder="1" applyAlignment="1">
      <alignment horizontal="left" wrapText="1"/>
    </xf>
    <xf numFmtId="0" fontId="10" fillId="9" borderId="12" xfId="0" applyFont="1" applyFill="1" applyBorder="1" applyAlignment="1">
      <alignment horizontal="center" vertical="center"/>
    </xf>
    <xf numFmtId="0" fontId="8" fillId="10" borderId="18" xfId="0" applyFont="1" applyFill="1" applyBorder="1" applyAlignment="1">
      <alignment horizontal="center" vertical="center"/>
    </xf>
    <xf numFmtId="0" fontId="8" fillId="10" borderId="19" xfId="0" applyFont="1" applyFill="1" applyBorder="1" applyAlignment="1">
      <alignment horizontal="center" vertical="center"/>
    </xf>
    <xf numFmtId="0" fontId="8" fillId="10" borderId="50" xfId="0" applyFont="1" applyFill="1" applyBorder="1" applyAlignment="1">
      <alignment horizontal="center" vertical="center"/>
    </xf>
    <xf numFmtId="0" fontId="0" fillId="10" borderId="20" xfId="0" applyFill="1" applyBorder="1" applyAlignment="1"/>
    <xf numFmtId="0" fontId="4" fillId="0" borderId="31" xfId="0" applyNumberFormat="1" applyFont="1" applyBorder="1" applyAlignment="1">
      <alignment horizontal="center" vertical="center" wrapText="1"/>
    </xf>
    <xf numFmtId="0" fontId="4" fillId="0" borderId="34" xfId="0" applyNumberFormat="1" applyFont="1" applyBorder="1" applyAlignment="1">
      <alignment horizontal="center" vertical="center" wrapText="1"/>
    </xf>
    <xf numFmtId="0" fontId="11" fillId="8" borderId="54" xfId="0" applyFont="1" applyFill="1" applyBorder="1" applyAlignment="1">
      <alignment horizontal="center" vertical="center" textRotation="90"/>
    </xf>
    <xf numFmtId="0" fontId="11" fillId="8" borderId="47" xfId="0" applyFont="1" applyFill="1" applyBorder="1" applyAlignment="1">
      <alignment horizontal="center" vertical="center" textRotation="90"/>
    </xf>
    <xf numFmtId="0" fontId="0" fillId="0" borderId="47" xfId="0" applyBorder="1" applyAlignment="1"/>
    <xf numFmtId="0" fontId="3" fillId="8" borderId="53" xfId="0" applyFont="1" applyFill="1" applyBorder="1" applyAlignment="1">
      <alignment horizontal="center" vertical="center" textRotation="90"/>
    </xf>
    <xf numFmtId="0" fontId="3" fillId="8" borderId="21"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11" fillId="8" borderId="14" xfId="0" applyFont="1" applyFill="1" applyBorder="1" applyAlignment="1">
      <alignment horizontal="center" vertical="center" textRotation="90"/>
    </xf>
    <xf numFmtId="0" fontId="0" fillId="0" borderId="21" xfId="0" applyBorder="1" applyAlignment="1"/>
    <xf numFmtId="0" fontId="0" fillId="0" borderId="17" xfId="0" applyBorder="1" applyAlignment="1"/>
    <xf numFmtId="172" fontId="20" fillId="12" borderId="33" xfId="0" applyNumberFormat="1" applyFont="1" applyFill="1" applyBorder="1" applyAlignment="1">
      <alignment horizontal="right"/>
    </xf>
    <xf numFmtId="172" fontId="4" fillId="12" borderId="33" xfId="0" applyNumberFormat="1" applyFont="1" applyFill="1" applyBorder="1" applyAlignment="1">
      <alignment horizontal="right"/>
    </xf>
    <xf numFmtId="172" fontId="4" fillId="12" borderId="34" xfId="0" applyNumberFormat="1" applyFont="1" applyFill="1" applyBorder="1" applyAlignment="1">
      <alignment horizontal="right"/>
    </xf>
    <xf numFmtId="14" fontId="4" fillId="0" borderId="31" xfId="0" applyNumberFormat="1" applyFont="1" applyBorder="1" applyAlignment="1">
      <alignment horizontal="center" vertical="center" wrapText="1"/>
    </xf>
    <xf numFmtId="14" fontId="4" fillId="0" borderId="34" xfId="0" applyNumberFormat="1" applyFont="1" applyBorder="1" applyAlignment="1">
      <alignment horizontal="center" vertical="center" wrapText="1"/>
    </xf>
    <xf numFmtId="0" fontId="0" fillId="10" borderId="20" xfId="0" applyFill="1" applyBorder="1" applyAlignment="1">
      <alignment horizontal="center" vertical="center"/>
    </xf>
    <xf numFmtId="174" fontId="4" fillId="0" borderId="42" xfId="0" applyNumberFormat="1" applyFont="1" applyBorder="1" applyAlignment="1">
      <alignment horizontal="center" vertical="center"/>
    </xf>
    <xf numFmtId="174" fontId="0" fillId="0" borderId="43" xfId="0" applyNumberFormat="1" applyBorder="1" applyAlignment="1">
      <alignment horizontal="center" vertical="center"/>
    </xf>
    <xf numFmtId="0" fontId="9" fillId="10" borderId="31" xfId="0" applyFont="1" applyFill="1" applyBorder="1" applyAlignment="1">
      <alignment horizontal="center"/>
    </xf>
    <xf numFmtId="0" fontId="0" fillId="10" borderId="33" xfId="0" applyFill="1" applyBorder="1" applyAlignment="1">
      <alignment horizontal="center"/>
    </xf>
    <xf numFmtId="0" fontId="0" fillId="10" borderId="51" xfId="0" applyFill="1" applyBorder="1" applyAlignment="1"/>
    <xf numFmtId="172" fontId="20" fillId="12" borderId="52" xfId="0" applyNumberFormat="1" applyFont="1" applyFill="1" applyBorder="1" applyAlignment="1">
      <alignment horizontal="right"/>
    </xf>
    <xf numFmtId="0" fontId="5" fillId="0" borderId="12" xfId="0" applyFont="1" applyFill="1" applyBorder="1" applyAlignment="1">
      <alignment horizontal="left" wrapText="1"/>
    </xf>
    <xf numFmtId="0" fontId="5" fillId="0" borderId="13" xfId="0" applyFont="1" applyFill="1" applyBorder="1" applyAlignment="1">
      <alignment horizontal="left" wrapText="1"/>
    </xf>
    <xf numFmtId="0" fontId="6" fillId="5" borderId="14"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5" borderId="17" xfId="0" applyFont="1" applyFill="1" applyBorder="1" applyAlignment="1">
      <alignment horizontal="center" vertical="center" wrapText="1"/>
    </xf>
    <xf numFmtId="0" fontId="5" fillId="0" borderId="18" xfId="0" applyFont="1" applyFill="1" applyBorder="1" applyAlignment="1">
      <alignment horizontal="left" vertical="center" wrapText="1"/>
    </xf>
    <xf numFmtId="0" fontId="5" fillId="0" borderId="19" xfId="0" applyFont="1" applyFill="1" applyBorder="1" applyAlignment="1">
      <alignment horizontal="left" vertical="center" wrapText="1"/>
    </xf>
    <xf numFmtId="0" fontId="5" fillId="0" borderId="20" xfId="0" applyFont="1" applyFill="1" applyBorder="1" applyAlignment="1">
      <alignment horizontal="left" vertical="center" wrapText="1"/>
    </xf>
    <xf numFmtId="0" fontId="6" fillId="5" borderId="2"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7" xfId="0" applyFont="1" applyFill="1" applyBorder="1" applyAlignment="1">
      <alignment horizontal="center" vertical="center" wrapText="1"/>
    </xf>
    <xf numFmtId="0" fontId="5" fillId="0" borderId="25" xfId="0" applyFont="1" applyFill="1" applyBorder="1" applyAlignment="1">
      <alignment horizontal="left" vertical="center" wrapText="1"/>
    </xf>
    <xf numFmtId="0" fontId="5" fillId="0" borderId="26" xfId="0" applyFont="1" applyFill="1" applyBorder="1" applyAlignment="1">
      <alignment horizontal="left" vertical="center" wrapText="1"/>
    </xf>
    <xf numFmtId="0" fontId="5" fillId="0" borderId="27" xfId="0" applyFont="1" applyFill="1" applyBorder="1" applyAlignment="1">
      <alignment horizontal="left" vertical="center" wrapText="1"/>
    </xf>
    <xf numFmtId="0" fontId="5" fillId="0" borderId="28" xfId="0" applyFont="1" applyFill="1" applyBorder="1" applyAlignment="1">
      <alignment horizontal="left" vertical="center" wrapText="1"/>
    </xf>
    <xf numFmtId="0" fontId="5" fillId="0" borderId="29" xfId="0" applyFont="1" applyFill="1" applyBorder="1" applyAlignment="1">
      <alignment horizontal="left" vertical="center" wrapText="1"/>
    </xf>
    <xf numFmtId="0" fontId="5" fillId="0" borderId="30" xfId="0" applyFont="1" applyFill="1" applyBorder="1" applyAlignment="1">
      <alignment horizontal="left" vertical="center" wrapText="1"/>
    </xf>
    <xf numFmtId="0" fontId="1" fillId="2" borderId="9" xfId="0" applyFont="1" applyFill="1" applyBorder="1" applyAlignment="1">
      <alignment horizontal="center"/>
    </xf>
    <xf numFmtId="0" fontId="0" fillId="3" borderId="1" xfId="0" applyNumberFormat="1" applyFill="1" applyBorder="1" applyAlignment="1">
      <alignment horizontal="center" vertical="center"/>
    </xf>
    <xf numFmtId="0" fontId="0" fillId="3" borderId="1" xfId="0" applyFill="1" applyBorder="1" applyAlignment="1">
      <alignment horizontal="center" vertical="center"/>
    </xf>
    <xf numFmtId="0"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0" fillId="10" borderId="31" xfId="0" applyNumberFormat="1" applyFill="1" applyBorder="1" applyAlignment="1">
      <alignment horizontal="center" vertical="center"/>
    </xf>
    <xf numFmtId="0" fontId="0" fillId="10" borderId="33" xfId="0" applyFill="1" applyBorder="1" applyAlignment="1">
      <alignment horizontal="center" vertical="center"/>
    </xf>
    <xf numFmtId="0" fontId="0" fillId="0" borderId="34" xfId="0"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colors>
    <mruColors>
      <color rgb="FF36DF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12</xdr:row>
          <xdr:rowOff>15240</xdr:rowOff>
        </xdr:from>
        <xdr:to>
          <xdr:col>1</xdr:col>
          <xdr:colOff>594360</xdr:colOff>
          <xdr:row>26</xdr:row>
          <xdr:rowOff>190500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Get PDF Adress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678180</xdr:colOff>
          <xdr:row>27</xdr:row>
          <xdr:rowOff>22860</xdr:rowOff>
        </xdr:from>
        <xdr:to>
          <xdr:col>1</xdr:col>
          <xdr:colOff>518160</xdr:colOff>
          <xdr:row>44</xdr:row>
          <xdr:rowOff>15240</xdr:rowOff>
        </xdr:to>
        <xdr:sp macro="" textlink="">
          <xdr:nvSpPr>
            <xdr:cNvPr id="1035" name="Button 11" descr=" SendEmailRaul"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 SendEmailCorespondenta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678180</xdr:colOff>
          <xdr:row>1</xdr:row>
          <xdr:rowOff>30480</xdr:rowOff>
        </xdr:from>
        <xdr:to>
          <xdr:col>1</xdr:col>
          <xdr:colOff>518160</xdr:colOff>
          <xdr:row>11</xdr:row>
          <xdr:rowOff>213360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copiaza datele din INSIS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3680460</xdr:colOff>
          <xdr:row>45</xdr:row>
          <xdr:rowOff>68580</xdr:rowOff>
        </xdr:from>
        <xdr:to>
          <xdr:col>5</xdr:col>
          <xdr:colOff>5227320</xdr:colOff>
          <xdr:row>47</xdr:row>
          <xdr:rowOff>7620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copiaza datele in raport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44</xdr:row>
          <xdr:rowOff>30480</xdr:rowOff>
        </xdr:from>
        <xdr:to>
          <xdr:col>5</xdr:col>
          <xdr:colOff>2667000</xdr:colOff>
          <xdr:row>45</xdr:row>
          <xdr:rowOff>91440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Solicitare Acord Plata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3657600</xdr:colOff>
          <xdr:row>47</xdr:row>
          <xdr:rowOff>91440</xdr:rowOff>
        </xdr:from>
        <xdr:to>
          <xdr:col>5</xdr:col>
          <xdr:colOff>5196840</xdr:colOff>
          <xdr:row>48</xdr:row>
          <xdr:rowOff>121920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3665220</xdr:colOff>
          <xdr:row>43</xdr:row>
          <xdr:rowOff>167640</xdr:rowOff>
        </xdr:from>
        <xdr:to>
          <xdr:col>5</xdr:col>
          <xdr:colOff>5196840</xdr:colOff>
          <xdr:row>45</xdr:row>
          <xdr:rowOff>30480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Plata dosar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61"/>
  <sheetViews>
    <sheetView tabSelected="1" topLeftCell="B7" zoomScale="70" zoomScaleNormal="70" workbookViewId="0">
      <selection activeCell="F9" sqref="F9"/>
    </sheetView>
  </sheetViews>
  <sheetFormatPr defaultRowHeight="14.4" x14ac:dyDescent="0.3"/>
  <cols>
    <col min="1" max="1" width="9.88671875" style="38" customWidth="1"/>
    <col min="2" max="2" width="7.5546875" customWidth="1"/>
    <col min="3" max="3" width="27.6640625" customWidth="1"/>
    <col min="4" max="4" width="20.33203125" style="39" bestFit="1" customWidth="1"/>
    <col min="5" max="5" width="44.109375" customWidth="1"/>
    <col min="6" max="6" width="78.6640625" customWidth="1"/>
    <col min="7" max="7" width="6" style="39" customWidth="1"/>
    <col min="8" max="8" width="26.109375" customWidth="1"/>
  </cols>
  <sheetData>
    <row r="1" spans="1:8" ht="8.4" customHeight="1" thickBot="1" x14ac:dyDescent="0.55000000000000004">
      <c r="C1" s="106"/>
      <c r="D1" s="107"/>
      <c r="E1" s="106"/>
      <c r="F1" s="108"/>
    </row>
    <row r="2" spans="1:8" ht="50.4" customHeight="1" thickBot="1" x14ac:dyDescent="0.35">
      <c r="A2" s="38" t="str">
        <f ca="1">TEXT(NOW(), "dd.mm.yyyy")</f>
        <v>23.10.2026</v>
      </c>
      <c r="B2" s="47"/>
      <c r="C2" s="189" t="s">
        <v>54</v>
      </c>
      <c r="D2" s="189"/>
      <c r="E2" s="189"/>
      <c r="F2" s="110">
        <v>0</v>
      </c>
    </row>
    <row r="3" spans="1:8" ht="6" customHeight="1" thickBot="1" x14ac:dyDescent="0.6">
      <c r="B3" s="48"/>
      <c r="C3" s="49"/>
      <c r="D3" s="49"/>
      <c r="E3" s="49"/>
      <c r="F3" s="50"/>
    </row>
    <row r="4" spans="1:8" ht="21" x14ac:dyDescent="0.3">
      <c r="B4" s="46"/>
      <c r="C4" s="190" t="s">
        <v>106</v>
      </c>
      <c r="D4" s="191"/>
      <c r="E4" s="192"/>
      <c r="F4" s="55" t="s">
        <v>107</v>
      </c>
      <c r="H4" s="158"/>
    </row>
    <row r="5" spans="1:8" x14ac:dyDescent="0.3">
      <c r="B5" s="199" t="s">
        <v>95</v>
      </c>
      <c r="C5" s="56" t="s">
        <v>108</v>
      </c>
      <c r="D5" s="194">
        <v>0</v>
      </c>
      <c r="E5" s="195"/>
      <c r="F5" s="127" t="s">
        <v>633</v>
      </c>
      <c r="G5" s="39" t="s">
        <v>95</v>
      </c>
    </row>
    <row r="6" spans="1:8" x14ac:dyDescent="0.3">
      <c r="B6" s="200"/>
      <c r="C6" s="56" t="s">
        <v>109</v>
      </c>
      <c r="D6" s="194">
        <v>0</v>
      </c>
      <c r="E6" s="195"/>
      <c r="F6" s="115"/>
    </row>
    <row r="7" spans="1:8" ht="14.55" customHeight="1" x14ac:dyDescent="0.3">
      <c r="B7" s="200"/>
      <c r="C7" s="56" t="s">
        <v>110</v>
      </c>
      <c r="D7" s="194">
        <v>0</v>
      </c>
      <c r="E7" s="195"/>
      <c r="F7" s="188"/>
    </row>
    <row r="8" spans="1:8" ht="14.55" customHeight="1" x14ac:dyDescent="0.3">
      <c r="B8" s="200"/>
      <c r="C8" s="56" t="s">
        <v>111</v>
      </c>
      <c r="D8" s="194">
        <v>0</v>
      </c>
      <c r="E8" s="195"/>
      <c r="F8" s="101" t="s">
        <v>113</v>
      </c>
    </row>
    <row r="9" spans="1:8" ht="14.55" customHeight="1" x14ac:dyDescent="0.3">
      <c r="B9" s="200"/>
      <c r="C9" s="56" t="s">
        <v>112</v>
      </c>
      <c r="D9" s="194">
        <v>0</v>
      </c>
      <c r="E9" s="195"/>
      <c r="F9" s="161" t="s">
        <v>634</v>
      </c>
    </row>
    <row r="10" spans="1:8" ht="14.55" customHeight="1" x14ac:dyDescent="0.3">
      <c r="B10" s="200"/>
      <c r="C10" s="56" t="s">
        <v>114</v>
      </c>
      <c r="D10" s="194">
        <v>0</v>
      </c>
      <c r="E10" s="195"/>
      <c r="F10" s="101" t="s">
        <v>115</v>
      </c>
      <c r="H10" s="38"/>
    </row>
    <row r="11" spans="1:8" x14ac:dyDescent="0.3">
      <c r="B11" s="201"/>
      <c r="C11" s="56" t="s">
        <v>116</v>
      </c>
      <c r="D11" s="208">
        <v>0</v>
      </c>
      <c r="E11" s="209"/>
      <c r="F11" s="58"/>
    </row>
    <row r="12" spans="1:8" ht="17.399999999999999" customHeight="1" thickBot="1" x14ac:dyDescent="0.35">
      <c r="B12" s="102"/>
      <c r="C12" s="103" t="s">
        <v>117</v>
      </c>
      <c r="D12" s="208">
        <v>0</v>
      </c>
      <c r="E12" s="209"/>
      <c r="F12" s="104" t="s">
        <v>118</v>
      </c>
    </row>
    <row r="13" spans="1:8" ht="21" customHeight="1" x14ac:dyDescent="0.3">
      <c r="B13" s="202" t="s">
        <v>96</v>
      </c>
      <c r="C13" s="190" t="s">
        <v>601</v>
      </c>
      <c r="D13" s="191"/>
      <c r="E13" s="191"/>
      <c r="F13" s="193"/>
    </row>
    <row r="14" spans="1:8" ht="21" customHeight="1" x14ac:dyDescent="0.3">
      <c r="A14" s="38" t="s">
        <v>631</v>
      </c>
      <c r="B14" s="203"/>
      <c r="C14" s="57" t="s">
        <v>119</v>
      </c>
      <c r="D14" s="57" t="s">
        <v>120</v>
      </c>
      <c r="E14" s="57" t="s">
        <v>121</v>
      </c>
      <c r="F14" s="61" t="s">
        <v>122</v>
      </c>
    </row>
    <row r="15" spans="1:8" ht="21" customHeight="1" x14ac:dyDescent="0.3">
      <c r="A15" s="38">
        <v>0</v>
      </c>
      <c r="B15" s="203"/>
      <c r="C15" s="121">
        <v>0</v>
      </c>
      <c r="D15" s="183">
        <v>0</v>
      </c>
      <c r="E15" s="41">
        <v>0</v>
      </c>
      <c r="F15" s="62">
        <v>0</v>
      </c>
    </row>
    <row r="16" spans="1:8" ht="21" customHeight="1" x14ac:dyDescent="0.4">
      <c r="A16" s="38" t="s">
        <v>594</v>
      </c>
      <c r="B16" s="203"/>
      <c r="C16" s="216" t="s">
        <v>636</v>
      </c>
      <c r="D16" s="206"/>
      <c r="E16" s="207"/>
      <c r="F16" s="172" t="str">
        <f>C16</f>
        <v>1</v>
      </c>
    </row>
    <row r="17" spans="1:8" x14ac:dyDescent="0.3">
      <c r="A17" s="38">
        <v>1</v>
      </c>
      <c r="B17" s="203"/>
      <c r="C17" s="56"/>
      <c r="D17" s="57" t="s">
        <v>55</v>
      </c>
      <c r="E17" s="57" t="s">
        <v>56</v>
      </c>
      <c r="F17" s="58" t="s">
        <v>69</v>
      </c>
    </row>
    <row r="18" spans="1:8" x14ac:dyDescent="0.3">
      <c r="A18" s="38" t="s">
        <v>593</v>
      </c>
      <c r="B18" s="203"/>
      <c r="C18" s="56" t="s">
        <v>123</v>
      </c>
      <c r="D18" s="176">
        <f>(D22+D23+D26)+F27*(D22+D23+D26)/100</f>
        <v>0</v>
      </c>
      <c r="E18" s="177">
        <f>(E22+E23+E26) +F27*(E22+E23+E26)/100</f>
        <v>0</v>
      </c>
      <c r="F18" s="63"/>
    </row>
    <row r="19" spans="1:8" x14ac:dyDescent="0.3">
      <c r="A19" s="38">
        <v>1</v>
      </c>
      <c r="B19" s="203"/>
      <c r="C19" s="56" t="s">
        <v>124</v>
      </c>
      <c r="D19" s="155">
        <v>0</v>
      </c>
      <c r="E19" s="155">
        <v>0</v>
      </c>
      <c r="F19" s="151" t="s">
        <v>591</v>
      </c>
    </row>
    <row r="20" spans="1:8" ht="23.4" x14ac:dyDescent="0.45">
      <c r="A20" s="38" t="s">
        <v>95</v>
      </c>
      <c r="B20" s="203"/>
      <c r="C20" s="213" t="s">
        <v>125</v>
      </c>
      <c r="D20" s="214"/>
      <c r="E20" s="214"/>
      <c r="F20" s="215"/>
    </row>
    <row r="21" spans="1:8" x14ac:dyDescent="0.3">
      <c r="B21" s="203"/>
      <c r="C21" s="56"/>
      <c r="D21" s="57" t="s">
        <v>55</v>
      </c>
      <c r="E21" s="57" t="s">
        <v>56</v>
      </c>
      <c r="F21" s="115"/>
    </row>
    <row r="22" spans="1:8" x14ac:dyDescent="0.3">
      <c r="B22" s="203"/>
      <c r="C22" s="59" t="s">
        <v>126</v>
      </c>
      <c r="D22" s="148">
        <v>0</v>
      </c>
      <c r="E22" s="148">
        <v>0</v>
      </c>
      <c r="F22" s="45" t="s">
        <v>127</v>
      </c>
    </row>
    <row r="23" spans="1:8" x14ac:dyDescent="0.3">
      <c r="B23" s="203"/>
      <c r="C23" s="59" t="s">
        <v>128</v>
      </c>
      <c r="D23" s="148">
        <v>0</v>
      </c>
      <c r="E23" s="148">
        <v>0</v>
      </c>
      <c r="F23" s="45" t="s">
        <v>129</v>
      </c>
    </row>
    <row r="24" spans="1:8" x14ac:dyDescent="0.3">
      <c r="B24" s="203"/>
      <c r="C24" s="59" t="s">
        <v>104</v>
      </c>
      <c r="D24" s="169">
        <v>0</v>
      </c>
      <c r="E24" s="169">
        <v>0</v>
      </c>
      <c r="F24" s="45" t="s">
        <v>130</v>
      </c>
      <c r="H24" t="e">
        <f>"manopera tinichigerie cf reparator " &amp;E24&amp;" h x " &amp;E19&amp;" lei/h cf manopera de referinta pentru " &amp;LEFT(D5, FIND(" ", D5) - 1)&amp;" regiunea " &amp;F15&amp;" = " &amp;E24*E19&amp;" lei"</f>
        <v>#VALUE!</v>
      </c>
    </row>
    <row r="25" spans="1:8" x14ac:dyDescent="0.3">
      <c r="B25" s="203"/>
      <c r="C25" s="59" t="s">
        <v>105</v>
      </c>
      <c r="D25" s="169">
        <v>0</v>
      </c>
      <c r="E25" s="169">
        <v>0</v>
      </c>
      <c r="F25" s="45" t="s">
        <v>131</v>
      </c>
      <c r="H25" t="e">
        <f>"manopera vopsitorie cf reparator " &amp;E25&amp;" h x " &amp;E19&amp;" lei/h cf manopera de referinta pentru " &amp;LEFT(D5, FIND(" ", D5) - 1)&amp;" regiunea " &amp;F15&amp;" = " &amp;E25*E19&amp;" lei"</f>
        <v>#VALUE!</v>
      </c>
    </row>
    <row r="26" spans="1:8" x14ac:dyDescent="0.3">
      <c r="B26" s="203"/>
      <c r="C26" s="60" t="s">
        <v>132</v>
      </c>
      <c r="D26" s="149">
        <v>0</v>
      </c>
      <c r="E26" s="148">
        <v>0</v>
      </c>
      <c r="F26" s="65" t="s">
        <v>133</v>
      </c>
      <c r="H26" t="str">
        <f>"materiale vopsitorie cf reparator   " &amp;E23&amp;" lei"</f>
        <v>materiale vopsitorie cf reparator   0 lei</v>
      </c>
    </row>
    <row r="27" spans="1:8" ht="15" thickBot="1" x14ac:dyDescent="0.35">
      <c r="B27" s="204"/>
      <c r="C27" s="105" t="s">
        <v>94</v>
      </c>
      <c r="D27" s="211">
        <v>0</v>
      </c>
      <c r="E27" s="212"/>
      <c r="F27" s="170">
        <v>21</v>
      </c>
      <c r="H27" t="str">
        <f>"piese + 2 %  cf reparator   " &amp;E22&amp;" lei"</f>
        <v>piese + 2 %  cf reparator   0 lei</v>
      </c>
    </row>
    <row r="28" spans="1:8" ht="21" x14ac:dyDescent="0.3">
      <c r="B28" s="196" t="s">
        <v>58</v>
      </c>
      <c r="C28" s="191" t="s">
        <v>589</v>
      </c>
      <c r="D28" s="191"/>
      <c r="E28" s="191"/>
      <c r="F28" s="210"/>
      <c r="G28"/>
      <c r="H28" t="str">
        <f>"TOTAL :   " &amp;E22+E23+E26&amp;" x 1.21 =  " &amp;TEXT(E18, "0.00")&amp;" lei"</f>
        <v>TOTAL :   0 x 1.21 =  0.00 lei</v>
      </c>
    </row>
    <row r="29" spans="1:8" x14ac:dyDescent="0.3">
      <c r="B29" s="197"/>
      <c r="C29" s="113" t="s">
        <v>119</v>
      </c>
      <c r="D29" s="57" t="s">
        <v>120</v>
      </c>
      <c r="E29" s="57">
        <v>0</v>
      </c>
      <c r="F29" s="174" t="str">
        <f>C31</f>
        <v>0</v>
      </c>
      <c r="G29"/>
    </row>
    <row r="30" spans="1:8" x14ac:dyDescent="0.3">
      <c r="B30" s="197"/>
      <c r="C30" s="122">
        <v>0</v>
      </c>
      <c r="D30" s="183">
        <v>0</v>
      </c>
      <c r="E30" s="41">
        <v>0</v>
      </c>
      <c r="F30" s="62">
        <v>0</v>
      </c>
      <c r="G30"/>
    </row>
    <row r="31" spans="1:8" ht="21" x14ac:dyDescent="0.4">
      <c r="A31" s="38" t="s">
        <v>631</v>
      </c>
      <c r="B31" s="197"/>
      <c r="C31" s="205" t="s">
        <v>634</v>
      </c>
      <c r="D31" s="206"/>
      <c r="E31" s="207"/>
      <c r="F31" s="151" t="s">
        <v>596</v>
      </c>
    </row>
    <row r="32" spans="1:8" x14ac:dyDescent="0.3">
      <c r="A32" s="38">
        <v>1</v>
      </c>
      <c r="B32" s="197"/>
      <c r="C32" s="119"/>
      <c r="D32" s="57" t="s">
        <v>55</v>
      </c>
      <c r="E32" s="57" t="s">
        <v>56</v>
      </c>
      <c r="F32" s="45" t="s">
        <v>95</v>
      </c>
      <c r="H32" s="51"/>
    </row>
    <row r="33" spans="1:7" ht="15" thickBot="1" x14ac:dyDescent="0.35">
      <c r="A33" s="38" t="s">
        <v>594</v>
      </c>
      <c r="B33" s="197"/>
      <c r="C33" s="113" t="s">
        <v>123</v>
      </c>
      <c r="D33" s="178">
        <v>0</v>
      </c>
      <c r="E33" s="178">
        <v>0</v>
      </c>
      <c r="F33" s="157"/>
    </row>
    <row r="34" spans="1:7" x14ac:dyDescent="0.3">
      <c r="A34" s="38">
        <v>1</v>
      </c>
      <c r="B34" s="197"/>
      <c r="C34" s="113" t="s">
        <v>134</v>
      </c>
      <c r="D34" s="123">
        <v>0</v>
      </c>
      <c r="E34" s="42">
        <v>0</v>
      </c>
      <c r="F34" s="128" t="str">
        <f>IF(D37&lt;=DATEVALUE("2022-09-10"),"N20",IF(D37&lt;=DATEVALUE("2023-04-11"),"N18",IF(D37&lt;=DATEVALUE("2025-06-30"),"HG298","N18 dupa incetarea HG298")))</f>
        <v>N20</v>
      </c>
    </row>
    <row r="35" spans="1:7" x14ac:dyDescent="0.3">
      <c r="A35" s="38" t="s">
        <v>632</v>
      </c>
      <c r="B35" s="197"/>
      <c r="C35" s="120" t="s">
        <v>103</v>
      </c>
      <c r="D35" s="126">
        <v>0</v>
      </c>
      <c r="E35" s="127" t="s">
        <v>635</v>
      </c>
      <c r="F35" s="124">
        <v>0</v>
      </c>
    </row>
    <row r="36" spans="1:7" x14ac:dyDescent="0.3">
      <c r="A36" s="38">
        <v>2</v>
      </c>
      <c r="B36" s="198"/>
      <c r="C36" s="116" t="s">
        <v>587</v>
      </c>
      <c r="D36" s="126">
        <v>0</v>
      </c>
      <c r="F36" s="156">
        <v>0</v>
      </c>
    </row>
    <row r="37" spans="1:7" x14ac:dyDescent="0.3">
      <c r="B37" s="117"/>
      <c r="C37" s="116" t="s">
        <v>590</v>
      </c>
      <c r="D37" s="184">
        <v>0</v>
      </c>
      <c r="E37" s="145" t="s">
        <v>95</v>
      </c>
      <c r="F37" s="151" t="s">
        <v>598</v>
      </c>
    </row>
    <row r="38" spans="1:7" ht="14.4" customHeight="1" x14ac:dyDescent="0.3">
      <c r="B38" s="117"/>
      <c r="C38" s="116" t="s">
        <v>621</v>
      </c>
      <c r="D38" s="183">
        <v>0</v>
      </c>
      <c r="E38" s="145" t="s">
        <v>95</v>
      </c>
      <c r="F38" s="146"/>
    </row>
    <row r="39" spans="1:7" x14ac:dyDescent="0.3">
      <c r="B39" s="117"/>
      <c r="C39" s="125" t="s">
        <v>101</v>
      </c>
      <c r="D39" s="150">
        <v>0</v>
      </c>
      <c r="E39" s="150">
        <v>0</v>
      </c>
      <c r="F39" s="171">
        <v>1</v>
      </c>
    </row>
    <row r="40" spans="1:7" x14ac:dyDescent="0.3">
      <c r="B40" s="117"/>
      <c r="C40" s="113" t="s">
        <v>102</v>
      </c>
      <c r="D40" s="150">
        <v>0</v>
      </c>
      <c r="E40" s="150">
        <v>0</v>
      </c>
      <c r="F40" s="147">
        <v>1</v>
      </c>
    </row>
    <row r="41" spans="1:7" ht="15" thickBot="1" x14ac:dyDescent="0.35">
      <c r="B41" s="118"/>
      <c r="C41" s="113" t="s">
        <v>588</v>
      </c>
      <c r="D41" s="150">
        <v>0</v>
      </c>
      <c r="E41" s="150">
        <v>0</v>
      </c>
      <c r="F41" s="147">
        <v>1</v>
      </c>
    </row>
    <row r="42" spans="1:7" x14ac:dyDescent="0.3">
      <c r="B42" s="185"/>
      <c r="C42" s="113" t="s">
        <v>620</v>
      </c>
      <c r="D42" s="150">
        <v>1</v>
      </c>
      <c r="E42" s="150">
        <v>1</v>
      </c>
      <c r="F42" s="147">
        <v>1</v>
      </c>
    </row>
    <row r="43" spans="1:7" x14ac:dyDescent="0.3">
      <c r="B43" s="185"/>
      <c r="C43" s="113" t="s">
        <v>592</v>
      </c>
      <c r="D43" s="150">
        <v>1</v>
      </c>
      <c r="E43" s="150">
        <v>1</v>
      </c>
      <c r="F43" s="38">
        <f>E43-D43</f>
        <v>0</v>
      </c>
    </row>
    <row r="44" spans="1:7" ht="15" thickBot="1" x14ac:dyDescent="0.35">
      <c r="B44" s="186"/>
      <c r="C44" s="113" t="s">
        <v>630</v>
      </c>
      <c r="D44" s="150">
        <f>D38</f>
        <v>0</v>
      </c>
      <c r="E44" s="153"/>
    </row>
    <row r="45" spans="1:7" x14ac:dyDescent="0.3">
      <c r="C45" s="153"/>
      <c r="D45" s="152"/>
      <c r="E45" s="153"/>
    </row>
    <row r="46" spans="1:7" x14ac:dyDescent="0.3">
      <c r="C46" s="153" t="s">
        <v>595</v>
      </c>
      <c r="D46" s="154">
        <f>D18+D33</f>
        <v>0</v>
      </c>
      <c r="E46" s="182">
        <f>D38+30</f>
        <v>30</v>
      </c>
      <c r="G46"/>
    </row>
    <row r="47" spans="1:7" x14ac:dyDescent="0.3">
      <c r="C47" s="153" t="s">
        <v>597</v>
      </c>
      <c r="D47" s="154">
        <f>E18+E33</f>
        <v>0</v>
      </c>
      <c r="E47" s="187">
        <f>IF(F36*1.2&lt;F35,F36*E34,F35*E34)</f>
        <v>0</v>
      </c>
    </row>
    <row r="48" spans="1:7" x14ac:dyDescent="0.3">
      <c r="C48" s="153"/>
      <c r="D48" s="154">
        <f>D46-D47</f>
        <v>0</v>
      </c>
      <c r="E48" s="153"/>
    </row>
    <row r="49" spans="3:6" x14ac:dyDescent="0.3">
      <c r="E49" t="s">
        <v>95</v>
      </c>
      <c r="F49" s="173"/>
    </row>
    <row r="50" spans="3:6" x14ac:dyDescent="0.3">
      <c r="C50" s="158"/>
      <c r="D50" s="168"/>
    </row>
    <row r="51" spans="3:6" x14ac:dyDescent="0.3">
      <c r="C51" t="s">
        <v>616</v>
      </c>
    </row>
    <row r="52" spans="3:6" x14ac:dyDescent="0.3">
      <c r="C52" t="s">
        <v>617</v>
      </c>
    </row>
    <row r="53" spans="3:6" x14ac:dyDescent="0.3">
      <c r="C53" s="153" t="s">
        <v>618</v>
      </c>
    </row>
    <row r="55" spans="3:6" x14ac:dyDescent="0.3">
      <c r="C55" s="168" t="s">
        <v>619</v>
      </c>
      <c r="D55" s="168"/>
    </row>
    <row r="61" spans="3:6" x14ac:dyDescent="0.3">
      <c r="E61" t="s">
        <v>95</v>
      </c>
    </row>
  </sheetData>
  <mergeCells count="19">
    <mergeCell ref="B28:B36"/>
    <mergeCell ref="B5:B11"/>
    <mergeCell ref="B13:B27"/>
    <mergeCell ref="C31:E31"/>
    <mergeCell ref="D5:E5"/>
    <mergeCell ref="D6:E6"/>
    <mergeCell ref="D7:E7"/>
    <mergeCell ref="D10:E10"/>
    <mergeCell ref="D11:E11"/>
    <mergeCell ref="C28:F28"/>
    <mergeCell ref="D27:E27"/>
    <mergeCell ref="C20:F20"/>
    <mergeCell ref="D12:E12"/>
    <mergeCell ref="C16:E16"/>
    <mergeCell ref="C2:E2"/>
    <mergeCell ref="C4:E4"/>
    <mergeCell ref="C13:F13"/>
    <mergeCell ref="D8:E8"/>
    <mergeCell ref="D9:E9"/>
  </mergeCells>
  <conditionalFormatting sqref="E15">
    <cfRule type="expression" priority="1">
      <formula>UPPER(A1)</formula>
    </cfRule>
    <cfRule type="expression" priority="2">
      <formula>UPPER(A1)</formula>
    </cfRule>
  </conditionalFormatting>
  <dataValidations count="5">
    <dataValidation type="list" allowBlank="1" showInputMessage="1" showErrorMessage="1" sqref="F5">
      <formula1>"DEPLASABIL, NEDEPLASABIL"</formula1>
    </dataValidation>
    <dataValidation type="list" allowBlank="1" showInputMessage="1" showErrorMessage="1" sqref="E35">
      <formula1>"SIMILAR, DIFERIT, INFERIOR, SUPERIOR"</formula1>
    </dataValidation>
    <dataValidation type="list" allowBlank="1" showInputMessage="1" showErrorMessage="1" sqref="F19">
      <formula1>"ABUZ REP, NEP, PART"</formula1>
    </dataValidation>
    <dataValidation type="list" allowBlank="1" showInputMessage="1" showErrorMessage="1" sqref="F31">
      <formula1>"ABUZ RENT, RENT"</formula1>
    </dataValidation>
    <dataValidation type="list" allowBlank="1" showInputMessage="1" showErrorMessage="1" sqref="F37">
      <formula1>"CU TVA, FARA TVA"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alveazaFisierPeDesktop">
                <anchor moveWithCells="1" sizeWithCells="1">
                  <from>
                    <xdr:col>1</xdr:col>
                    <xdr:colOff>7620</xdr:colOff>
                    <xdr:row>12</xdr:row>
                    <xdr:rowOff>15240</xdr:rowOff>
                  </from>
                  <to>
                    <xdr:col>1</xdr:col>
                    <xdr:colOff>594360</xdr:colOff>
                    <xdr:row>26</xdr:row>
                    <xdr:rowOff>190500</xdr:rowOff>
                  </to>
                </anchor>
              </controlPr>
            </control>
          </mc:Choice>
        </mc:AlternateContent>
        <mc:AlternateContent xmlns:mc="http://schemas.openxmlformats.org/markup-compatibility/2006">
          <mc:Choice Requires="x14">
            <control shapeId="1035" r:id="rId5" name="Button 11">
              <controlPr defaultSize="0" print="0" autoFill="0" autoPict="0" macro="[0]!SendEmailWithAttashament" altText=" SendEmailRaul">
                <anchor moveWithCells="1" sizeWithCells="1">
                  <from>
                    <xdr:col>0</xdr:col>
                    <xdr:colOff>678180</xdr:colOff>
                    <xdr:row>27</xdr:row>
                    <xdr:rowOff>22860</xdr:rowOff>
                  </from>
                  <to>
                    <xdr:col>1</xdr:col>
                    <xdr:colOff>518160</xdr:colOff>
                    <xdr:row>44</xdr:row>
                    <xdr:rowOff>15240</xdr:rowOff>
                  </to>
                </anchor>
              </controlPr>
            </control>
          </mc:Choice>
        </mc:AlternateContent>
        <mc:AlternateContent xmlns:mc="http://schemas.openxmlformats.org/markup-compatibility/2006">
          <mc:Choice Requires="x14">
            <control shapeId="1051" r:id="rId6" name="Button 27">
              <controlPr defaultSize="0" print="0" autoFill="0" autoPict="0" macro="[0]!CopiereDate">
                <anchor moveWithCells="1" sizeWithCells="1">
                  <from>
                    <xdr:col>0</xdr:col>
                    <xdr:colOff>678180</xdr:colOff>
                    <xdr:row>1</xdr:row>
                    <xdr:rowOff>30480</xdr:rowOff>
                  </from>
                  <to>
                    <xdr:col>1</xdr:col>
                    <xdr:colOff>518160</xdr:colOff>
                    <xdr:row>11</xdr:row>
                    <xdr:rowOff>213360</xdr:rowOff>
                  </to>
                </anchor>
              </controlPr>
            </control>
          </mc:Choice>
        </mc:AlternateContent>
        <mc:AlternateContent xmlns:mc="http://schemas.openxmlformats.org/markup-compatibility/2006">
          <mc:Choice Requires="x14">
            <control shapeId="1053" r:id="rId7" name="Button 29">
              <controlPr defaultSize="0" print="0" autoFill="0" autoPict="0" macro="[0]!Button29_Click">
                <anchor moveWithCells="1" sizeWithCells="1">
                  <from>
                    <xdr:col>5</xdr:col>
                    <xdr:colOff>3680460</xdr:colOff>
                    <xdr:row>45</xdr:row>
                    <xdr:rowOff>68580</xdr:rowOff>
                  </from>
                  <to>
                    <xdr:col>5</xdr:col>
                    <xdr:colOff>5227320</xdr:colOff>
                    <xdr:row>47</xdr:row>
                    <xdr:rowOff>7620</xdr:rowOff>
                  </to>
                </anchor>
              </controlPr>
            </control>
          </mc:Choice>
        </mc:AlternateContent>
        <mc:AlternateContent xmlns:mc="http://schemas.openxmlformats.org/markup-compatibility/2006">
          <mc:Choice Requires="x14">
            <control shapeId="1054" r:id="rId8" name="Button 30">
              <controlPr defaultSize="0" print="0" autoFill="0" autoPict="0" macro="[0]!SolicitaAcordPlata">
                <anchor moveWithCells="1" sizeWithCells="1">
                  <from>
                    <xdr:col>5</xdr:col>
                    <xdr:colOff>30480</xdr:colOff>
                    <xdr:row>44</xdr:row>
                    <xdr:rowOff>30480</xdr:rowOff>
                  </from>
                  <to>
                    <xdr:col>5</xdr:col>
                    <xdr:colOff>2667000</xdr:colOff>
                    <xdr:row>45</xdr:row>
                    <xdr:rowOff>91440</xdr:rowOff>
                  </to>
                </anchor>
              </controlPr>
            </control>
          </mc:Choice>
        </mc:AlternateContent>
        <mc:AlternateContent xmlns:mc="http://schemas.openxmlformats.org/markup-compatibility/2006">
          <mc:Choice Requires="x14">
            <control shapeId="1059" r:id="rId9" name="Button 35">
              <controlPr defaultSize="0" print="0" autoFill="0" autoPict="0" macro="[0]!CopyToCSV">
                <anchor moveWithCells="1" sizeWithCells="1">
                  <from>
                    <xdr:col>5</xdr:col>
                    <xdr:colOff>3657600</xdr:colOff>
                    <xdr:row>47</xdr:row>
                    <xdr:rowOff>91440</xdr:rowOff>
                  </from>
                  <to>
                    <xdr:col>5</xdr:col>
                    <xdr:colOff>5196840</xdr:colOff>
                    <xdr:row>48</xdr:row>
                    <xdr:rowOff>121920</xdr:rowOff>
                  </to>
                </anchor>
              </controlPr>
            </control>
          </mc:Choice>
        </mc:AlternateContent>
        <mc:AlternateContent xmlns:mc="http://schemas.openxmlformats.org/markup-compatibility/2006">
          <mc:Choice Requires="x14">
            <control shapeId="1061" r:id="rId10" name="Button 37">
              <controlPr defaultSize="0" print="0" autoFill="0" autoPict="0" macro="[0]!pLATA">
                <anchor moveWithCells="1" sizeWithCells="1">
                  <from>
                    <xdr:col>5</xdr:col>
                    <xdr:colOff>3665220</xdr:colOff>
                    <xdr:row>43</xdr:row>
                    <xdr:rowOff>167640</xdr:rowOff>
                  </from>
                  <to>
                    <xdr:col>5</xdr:col>
                    <xdr:colOff>5196840</xdr:colOff>
                    <xdr:row>45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43"/>
  <sheetViews>
    <sheetView workbookViewId="0">
      <selection activeCell="D20" sqref="D20"/>
    </sheetView>
  </sheetViews>
  <sheetFormatPr defaultRowHeight="14.4" x14ac:dyDescent="0.3"/>
  <cols>
    <col min="1" max="1" width="30" style="38" customWidth="1"/>
    <col min="2" max="2" width="17.77734375" style="159" customWidth="1"/>
    <col min="3" max="3" width="18.33203125" customWidth="1"/>
    <col min="4" max="4" width="54.21875" customWidth="1"/>
    <col min="5" max="5" width="23.33203125" customWidth="1"/>
    <col min="6" max="6" width="12.6640625" customWidth="1"/>
    <col min="7" max="7" width="15.109375" customWidth="1"/>
    <col min="8" max="8" width="17.44140625" customWidth="1"/>
  </cols>
  <sheetData>
    <row r="1" spans="1:2" x14ac:dyDescent="0.3">
      <c r="A1" s="166" t="s">
        <v>602</v>
      </c>
      <c r="B1" s="167">
        <v>45658</v>
      </c>
    </row>
    <row r="2" spans="1:2" x14ac:dyDescent="0.3">
      <c r="A2" s="116" t="s">
        <v>602</v>
      </c>
      <c r="B2" s="181">
        <v>45659</v>
      </c>
    </row>
    <row r="3" spans="1:2" x14ac:dyDescent="0.3">
      <c r="A3" s="166" t="s">
        <v>603</v>
      </c>
      <c r="B3" s="167">
        <v>45663</v>
      </c>
    </row>
    <row r="4" spans="1:2" x14ac:dyDescent="0.3">
      <c r="A4" s="166" t="s">
        <v>604</v>
      </c>
      <c r="B4" s="167">
        <v>45664</v>
      </c>
    </row>
    <row r="5" spans="1:2" x14ac:dyDescent="0.3">
      <c r="A5" s="180" t="s">
        <v>605</v>
      </c>
      <c r="B5" s="167">
        <v>45681</v>
      </c>
    </row>
    <row r="6" spans="1:2" x14ac:dyDescent="0.3">
      <c r="A6" s="180" t="s">
        <v>606</v>
      </c>
      <c r="B6" s="167">
        <v>45734</v>
      </c>
    </row>
    <row r="7" spans="1:2" x14ac:dyDescent="0.3">
      <c r="A7" s="180" t="s">
        <v>607</v>
      </c>
      <c r="B7" s="167">
        <v>45735</v>
      </c>
    </row>
    <row r="8" spans="1:2" x14ac:dyDescent="0.3">
      <c r="A8" s="180" t="s">
        <v>608</v>
      </c>
      <c r="B8" s="167">
        <v>45736</v>
      </c>
    </row>
    <row r="9" spans="1:2" x14ac:dyDescent="0.3">
      <c r="A9" s="180" t="s">
        <v>609</v>
      </c>
      <c r="B9" s="167">
        <v>45778</v>
      </c>
    </row>
    <row r="10" spans="1:2" x14ac:dyDescent="0.3">
      <c r="A10" s="180" t="s">
        <v>610</v>
      </c>
      <c r="B10" s="167">
        <v>45809</v>
      </c>
    </row>
    <row r="11" spans="1:2" x14ac:dyDescent="0.3">
      <c r="A11" s="166" t="s">
        <v>611</v>
      </c>
      <c r="B11" s="167">
        <v>45816</v>
      </c>
    </row>
    <row r="12" spans="1:2" x14ac:dyDescent="0.3">
      <c r="A12" s="166" t="s">
        <v>611</v>
      </c>
      <c r="B12" s="167">
        <v>45817</v>
      </c>
    </row>
    <row r="13" spans="1:2" x14ac:dyDescent="0.3">
      <c r="A13" s="166" t="s">
        <v>612</v>
      </c>
      <c r="B13" s="167">
        <v>45884</v>
      </c>
    </row>
    <row r="14" spans="1:2" x14ac:dyDescent="0.3">
      <c r="A14" s="166" t="s">
        <v>613</v>
      </c>
      <c r="B14" s="167">
        <v>45991</v>
      </c>
    </row>
    <row r="15" spans="1:2" x14ac:dyDescent="0.3">
      <c r="A15" s="166" t="s">
        <v>614</v>
      </c>
      <c r="B15" s="167">
        <v>45992</v>
      </c>
    </row>
    <row r="16" spans="1:2" x14ac:dyDescent="0.3">
      <c r="A16" s="166" t="s">
        <v>615</v>
      </c>
      <c r="B16" s="167">
        <v>46016</v>
      </c>
    </row>
    <row r="17" spans="1:2" x14ac:dyDescent="0.3">
      <c r="A17" s="166" t="s">
        <v>615</v>
      </c>
      <c r="B17" s="167">
        <v>46017</v>
      </c>
    </row>
    <row r="18" spans="1:2" x14ac:dyDescent="0.3">
      <c r="A18" s="166" t="s">
        <v>622</v>
      </c>
      <c r="B18" s="179">
        <v>46023</v>
      </c>
    </row>
    <row r="19" spans="1:2" x14ac:dyDescent="0.3">
      <c r="A19" s="166" t="s">
        <v>622</v>
      </c>
      <c r="B19" s="179">
        <v>46024</v>
      </c>
    </row>
    <row r="20" spans="1:2" x14ac:dyDescent="0.3">
      <c r="A20" s="166" t="s">
        <v>623</v>
      </c>
      <c r="B20" s="179">
        <v>46029</v>
      </c>
    </row>
    <row r="21" spans="1:2" x14ac:dyDescent="0.3">
      <c r="A21" s="166" t="s">
        <v>624</v>
      </c>
      <c r="B21" s="179">
        <v>46046</v>
      </c>
    </row>
    <row r="22" spans="1:2" x14ac:dyDescent="0.3">
      <c r="A22" s="166" t="s">
        <v>625</v>
      </c>
      <c r="B22" s="179">
        <v>46122</v>
      </c>
    </row>
    <row r="23" spans="1:2" x14ac:dyDescent="0.3">
      <c r="A23" s="166" t="s">
        <v>625</v>
      </c>
      <c r="B23" s="179">
        <v>46125</v>
      </c>
    </row>
    <row r="24" spans="1:2" x14ac:dyDescent="0.3">
      <c r="A24" s="166" t="s">
        <v>626</v>
      </c>
      <c r="B24" s="179">
        <v>46143</v>
      </c>
    </row>
    <row r="25" spans="1:2" x14ac:dyDescent="0.3">
      <c r="A25" s="166" t="s">
        <v>611</v>
      </c>
      <c r="B25" s="179">
        <v>46173</v>
      </c>
    </row>
    <row r="26" spans="1:2" x14ac:dyDescent="0.3">
      <c r="A26" s="166" t="s">
        <v>627</v>
      </c>
      <c r="B26" s="179">
        <v>46174</v>
      </c>
    </row>
    <row r="27" spans="1:2" x14ac:dyDescent="0.3">
      <c r="A27" s="166" t="s">
        <v>612</v>
      </c>
      <c r="B27" s="179">
        <v>46249</v>
      </c>
    </row>
    <row r="28" spans="1:2" x14ac:dyDescent="0.3">
      <c r="A28" s="166" t="s">
        <v>613</v>
      </c>
      <c r="B28" s="179">
        <v>46356</v>
      </c>
    </row>
    <row r="29" spans="1:2" x14ac:dyDescent="0.3">
      <c r="A29" s="166" t="s">
        <v>629</v>
      </c>
      <c r="B29" s="179">
        <v>46357</v>
      </c>
    </row>
    <row r="30" spans="1:2" x14ac:dyDescent="0.3">
      <c r="A30" s="166" t="s">
        <v>628</v>
      </c>
      <c r="B30" s="179">
        <v>46381</v>
      </c>
    </row>
    <row r="31" spans="1:2" x14ac:dyDescent="0.3">
      <c r="A31" s="166" t="s">
        <v>628</v>
      </c>
      <c r="B31" s="179">
        <v>46382</v>
      </c>
    </row>
    <row r="32" spans="1:2" x14ac:dyDescent="0.3">
      <c r="A32" s="175"/>
      <c r="B32" s="150"/>
    </row>
    <row r="33" spans="1:2" x14ac:dyDescent="0.3">
      <c r="A33" s="175"/>
      <c r="B33" s="150"/>
    </row>
    <row r="34" spans="1:2" x14ac:dyDescent="0.3">
      <c r="A34" s="57"/>
      <c r="B34" s="150"/>
    </row>
    <row r="35" spans="1:2" x14ac:dyDescent="0.3">
      <c r="A35" s="57"/>
      <c r="B35" s="150"/>
    </row>
    <row r="36" spans="1:2" x14ac:dyDescent="0.3">
      <c r="A36" s="57"/>
      <c r="B36" s="150"/>
    </row>
    <row r="37" spans="1:2" x14ac:dyDescent="0.3">
      <c r="A37" s="57"/>
      <c r="B37" s="150"/>
    </row>
    <row r="38" spans="1:2" x14ac:dyDescent="0.3">
      <c r="A38" s="175"/>
      <c r="B38" s="150"/>
    </row>
    <row r="39" spans="1:2" x14ac:dyDescent="0.3">
      <c r="A39" s="175"/>
      <c r="B39" s="150"/>
    </row>
    <row r="40" spans="1:2" x14ac:dyDescent="0.3">
      <c r="A40" s="57"/>
      <c r="B40" s="150"/>
    </row>
    <row r="41" spans="1:2" x14ac:dyDescent="0.3">
      <c r="A41" s="57"/>
      <c r="B41" s="150"/>
    </row>
    <row r="42" spans="1:2" x14ac:dyDescent="0.3">
      <c r="A42" s="164"/>
      <c r="B42" s="165"/>
    </row>
    <row r="43" spans="1:2" x14ac:dyDescent="0.3">
      <c r="B43" s="165"/>
    </row>
  </sheetData>
  <sortState ref="A1:B31">
    <sortCondition ref="B1:B3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52"/>
  <sheetViews>
    <sheetView zoomScaleNormal="100" workbookViewId="0">
      <selection activeCell="C17" sqref="C17"/>
    </sheetView>
  </sheetViews>
  <sheetFormatPr defaultRowHeight="14.4" x14ac:dyDescent="0.3"/>
  <cols>
    <col min="1" max="3" width="33.6640625" customWidth="1"/>
    <col min="4" max="4" width="33.21875" bestFit="1" customWidth="1"/>
    <col min="5" max="5" width="31.5546875" bestFit="1" customWidth="1"/>
    <col min="6" max="6" width="31.33203125" bestFit="1" customWidth="1"/>
    <col min="7" max="7" width="35" bestFit="1" customWidth="1"/>
    <col min="8" max="8" width="32.109375" bestFit="1" customWidth="1"/>
    <col min="9" max="9" width="44.88671875" bestFit="1" customWidth="1"/>
    <col min="10" max="10" width="56.88671875" bestFit="1" customWidth="1"/>
    <col min="11" max="13" width="33.6640625" customWidth="1"/>
    <col min="14" max="14" width="36.109375" bestFit="1" customWidth="1"/>
    <col min="15" max="22" width="33.6640625" customWidth="1"/>
  </cols>
  <sheetData>
    <row r="2" spans="1:22" ht="21" x14ac:dyDescent="0.3">
      <c r="A2" s="129" t="s">
        <v>135</v>
      </c>
      <c r="B2" s="129" t="s">
        <v>136</v>
      </c>
      <c r="C2" s="129" t="s">
        <v>137</v>
      </c>
      <c r="D2" s="129" t="s">
        <v>138</v>
      </c>
      <c r="E2" s="129" t="s">
        <v>139</v>
      </c>
      <c r="F2" s="129" t="s">
        <v>140</v>
      </c>
      <c r="G2" s="129" t="s">
        <v>141</v>
      </c>
      <c r="H2" s="129" t="s">
        <v>142</v>
      </c>
      <c r="I2" s="129" t="s">
        <v>143</v>
      </c>
      <c r="J2" s="129" t="s">
        <v>144</v>
      </c>
      <c r="K2" s="129" t="s">
        <v>145</v>
      </c>
      <c r="L2" s="129" t="s">
        <v>146</v>
      </c>
      <c r="M2" s="129" t="s">
        <v>147</v>
      </c>
      <c r="N2" s="129" t="s">
        <v>148</v>
      </c>
      <c r="O2" s="129" t="s">
        <v>149</v>
      </c>
      <c r="P2" s="129" t="s">
        <v>150</v>
      </c>
      <c r="Q2" s="130" t="s">
        <v>151</v>
      </c>
      <c r="R2" s="129" t="s">
        <v>152</v>
      </c>
      <c r="S2" s="129" t="s">
        <v>153</v>
      </c>
      <c r="T2" s="129" t="s">
        <v>154</v>
      </c>
      <c r="U2" s="129" t="s">
        <v>155</v>
      </c>
      <c r="V2" s="129" t="s">
        <v>156</v>
      </c>
    </row>
    <row r="3" spans="1:22" ht="61.2" x14ac:dyDescent="0.3">
      <c r="A3" s="131" t="s">
        <v>157</v>
      </c>
      <c r="B3" s="131" t="s">
        <v>158</v>
      </c>
      <c r="C3" s="131" t="s">
        <v>159</v>
      </c>
      <c r="D3" s="131" t="s">
        <v>160</v>
      </c>
      <c r="E3" s="131" t="s">
        <v>161</v>
      </c>
      <c r="F3" s="131" t="s">
        <v>162</v>
      </c>
      <c r="G3" s="131" t="s">
        <v>163</v>
      </c>
      <c r="H3" s="131"/>
      <c r="I3" s="131"/>
      <c r="J3" s="131"/>
      <c r="K3" s="131"/>
      <c r="L3" s="131"/>
      <c r="M3" s="131"/>
      <c r="N3" s="131"/>
      <c r="O3" s="131" t="s">
        <v>164</v>
      </c>
      <c r="P3" s="131"/>
      <c r="Q3" s="131"/>
      <c r="R3" s="131"/>
      <c r="S3" s="131"/>
      <c r="T3" s="131" t="s">
        <v>165</v>
      </c>
      <c r="U3" s="131" t="s">
        <v>166</v>
      </c>
      <c r="V3" s="131"/>
    </row>
    <row r="4" spans="1:22" x14ac:dyDescent="0.3">
      <c r="A4" s="132" t="s">
        <v>167</v>
      </c>
      <c r="B4" s="132" t="s">
        <v>168</v>
      </c>
      <c r="C4" s="132" t="s">
        <v>169</v>
      </c>
      <c r="D4" s="132" t="s">
        <v>170</v>
      </c>
      <c r="E4" s="132" t="s">
        <v>171</v>
      </c>
      <c r="F4" s="132" t="s">
        <v>172</v>
      </c>
      <c r="G4" s="132" t="s">
        <v>173</v>
      </c>
      <c r="H4" s="133" t="s">
        <v>174</v>
      </c>
      <c r="I4" s="132" t="s">
        <v>175</v>
      </c>
      <c r="J4" s="132" t="s">
        <v>176</v>
      </c>
      <c r="K4" s="132" t="s">
        <v>177</v>
      </c>
      <c r="L4" s="132" t="s">
        <v>178</v>
      </c>
      <c r="M4" s="132" t="s">
        <v>179</v>
      </c>
      <c r="N4" s="134" t="s">
        <v>180</v>
      </c>
      <c r="O4" s="132" t="s">
        <v>181</v>
      </c>
      <c r="P4" s="134" t="s">
        <v>182</v>
      </c>
      <c r="Q4" s="134" t="s">
        <v>183</v>
      </c>
      <c r="R4" s="132" t="s">
        <v>184</v>
      </c>
      <c r="S4" s="132" t="s">
        <v>185</v>
      </c>
      <c r="T4" s="132" t="s">
        <v>186</v>
      </c>
      <c r="U4" s="132" t="s">
        <v>187</v>
      </c>
      <c r="V4" s="132" t="s">
        <v>188</v>
      </c>
    </row>
    <row r="5" spans="1:22" x14ac:dyDescent="0.3">
      <c r="A5" s="132" t="s">
        <v>189</v>
      </c>
      <c r="B5" s="132" t="s">
        <v>190</v>
      </c>
      <c r="C5" s="135" t="s">
        <v>191</v>
      </c>
      <c r="D5" s="135" t="s">
        <v>192</v>
      </c>
      <c r="E5" s="132" t="s">
        <v>193</v>
      </c>
      <c r="F5" s="135" t="s">
        <v>194</v>
      </c>
      <c r="G5" s="132" t="s">
        <v>195</v>
      </c>
      <c r="H5" s="132" t="s">
        <v>196</v>
      </c>
      <c r="I5" s="132" t="s">
        <v>197</v>
      </c>
      <c r="J5" s="132" t="s">
        <v>198</v>
      </c>
      <c r="K5" s="132" t="s">
        <v>199</v>
      </c>
      <c r="L5" s="132" t="s">
        <v>200</v>
      </c>
      <c r="M5" s="135" t="s">
        <v>201</v>
      </c>
      <c r="N5" s="134" t="s">
        <v>202</v>
      </c>
      <c r="O5" s="132" t="s">
        <v>203</v>
      </c>
      <c r="P5" s="134" t="s">
        <v>204</v>
      </c>
      <c r="Q5" s="134" t="s">
        <v>205</v>
      </c>
      <c r="R5" s="132" t="s">
        <v>206</v>
      </c>
      <c r="S5" s="132" t="s">
        <v>207</v>
      </c>
      <c r="T5" s="132" t="s">
        <v>208</v>
      </c>
      <c r="U5" s="132" t="s">
        <v>209</v>
      </c>
      <c r="V5" s="132" t="s">
        <v>210</v>
      </c>
    </row>
    <row r="6" spans="1:22" x14ac:dyDescent="0.3">
      <c r="A6" s="135" t="s">
        <v>211</v>
      </c>
      <c r="B6" s="132" t="s">
        <v>212</v>
      </c>
      <c r="C6" s="132" t="s">
        <v>213</v>
      </c>
      <c r="D6" s="132" t="s">
        <v>214</v>
      </c>
      <c r="E6" s="132" t="s">
        <v>215</v>
      </c>
      <c r="F6" s="132" t="s">
        <v>216</v>
      </c>
      <c r="G6" s="132" t="s">
        <v>217</v>
      </c>
      <c r="H6" s="132" t="s">
        <v>218</v>
      </c>
      <c r="I6" s="132" t="s">
        <v>219</v>
      </c>
      <c r="J6" s="132" t="s">
        <v>220</v>
      </c>
      <c r="K6" s="132" t="s">
        <v>221</v>
      </c>
      <c r="L6" s="132" t="s">
        <v>222</v>
      </c>
      <c r="M6" s="132" t="s">
        <v>223</v>
      </c>
      <c r="N6" s="134" t="s">
        <v>224</v>
      </c>
      <c r="O6" s="132" t="s">
        <v>225</v>
      </c>
      <c r="P6" s="134" t="s">
        <v>226</v>
      </c>
      <c r="Q6" s="134" t="s">
        <v>227</v>
      </c>
      <c r="R6" s="132" t="s">
        <v>185</v>
      </c>
      <c r="S6" s="135" t="s">
        <v>228</v>
      </c>
      <c r="T6" s="132" t="s">
        <v>229</v>
      </c>
      <c r="U6" s="132" t="s">
        <v>230</v>
      </c>
      <c r="V6" s="132" t="s">
        <v>231</v>
      </c>
    </row>
    <row r="7" spans="1:22" x14ac:dyDescent="0.3">
      <c r="A7" s="132" t="s">
        <v>232</v>
      </c>
      <c r="B7" s="132" t="s">
        <v>233</v>
      </c>
      <c r="C7" s="132" t="s">
        <v>234</v>
      </c>
      <c r="D7" s="135" t="s">
        <v>235</v>
      </c>
      <c r="E7" s="132" t="s">
        <v>236</v>
      </c>
      <c r="F7" s="132" t="s">
        <v>237</v>
      </c>
      <c r="G7" s="132" t="s">
        <v>238</v>
      </c>
      <c r="H7" s="132" t="s">
        <v>239</v>
      </c>
      <c r="I7" s="132" t="s">
        <v>240</v>
      </c>
      <c r="J7" s="132" t="s">
        <v>241</v>
      </c>
      <c r="K7" s="132" t="s">
        <v>242</v>
      </c>
      <c r="L7" s="132" t="s">
        <v>243</v>
      </c>
      <c r="M7" s="132" t="s">
        <v>244</v>
      </c>
      <c r="N7" s="134" t="s">
        <v>245</v>
      </c>
      <c r="O7" s="132" t="s">
        <v>246</v>
      </c>
      <c r="P7" s="134" t="s">
        <v>247</v>
      </c>
      <c r="Q7" s="134" t="s">
        <v>248</v>
      </c>
      <c r="R7" s="132" t="s">
        <v>249</v>
      </c>
      <c r="S7" s="132" t="s">
        <v>250</v>
      </c>
      <c r="T7" s="132" t="s">
        <v>251</v>
      </c>
      <c r="U7" s="132" t="s">
        <v>252</v>
      </c>
      <c r="V7" s="132" t="s">
        <v>253</v>
      </c>
    </row>
    <row r="8" spans="1:22" x14ac:dyDescent="0.3">
      <c r="A8" s="132" t="s">
        <v>254</v>
      </c>
      <c r="B8" s="132" t="s">
        <v>255</v>
      </c>
      <c r="C8" s="132" t="s">
        <v>256</v>
      </c>
      <c r="D8" s="132" t="s">
        <v>257</v>
      </c>
      <c r="E8" s="135" t="s">
        <v>258</v>
      </c>
      <c r="F8" s="132" t="s">
        <v>259</v>
      </c>
      <c r="G8" s="132" t="s">
        <v>260</v>
      </c>
      <c r="H8" s="132" t="s">
        <v>261</v>
      </c>
      <c r="I8" s="132" t="s">
        <v>262</v>
      </c>
      <c r="J8" s="132" t="s">
        <v>263</v>
      </c>
      <c r="K8" s="132" t="s">
        <v>264</v>
      </c>
      <c r="L8" s="132" t="s">
        <v>265</v>
      </c>
      <c r="M8" s="132" t="s">
        <v>266</v>
      </c>
      <c r="N8" s="134" t="s">
        <v>267</v>
      </c>
      <c r="O8" s="132" t="s">
        <v>268</v>
      </c>
      <c r="P8" s="134" t="s">
        <v>269</v>
      </c>
      <c r="Q8" s="134" t="s">
        <v>202</v>
      </c>
      <c r="R8" s="132" t="s">
        <v>270</v>
      </c>
      <c r="S8" s="132" t="s">
        <v>271</v>
      </c>
      <c r="T8" s="132" t="s">
        <v>272</v>
      </c>
      <c r="U8" s="132" t="s">
        <v>273</v>
      </c>
      <c r="V8" s="132" t="s">
        <v>274</v>
      </c>
    </row>
    <row r="9" spans="1:22" x14ac:dyDescent="0.3">
      <c r="A9" s="132" t="s">
        <v>275</v>
      </c>
      <c r="B9" s="132" t="s">
        <v>276</v>
      </c>
      <c r="C9" s="132" t="s">
        <v>277</v>
      </c>
      <c r="D9" s="132" t="s">
        <v>278</v>
      </c>
      <c r="E9" s="132" t="s">
        <v>279</v>
      </c>
      <c r="F9" s="132" t="s">
        <v>280</v>
      </c>
      <c r="G9" s="132" t="s">
        <v>281</v>
      </c>
      <c r="H9" s="132" t="s">
        <v>282</v>
      </c>
      <c r="I9" s="132" t="s">
        <v>283</v>
      </c>
      <c r="J9" s="132" t="s">
        <v>284</v>
      </c>
      <c r="K9" s="132" t="s">
        <v>285</v>
      </c>
      <c r="L9" s="132" t="s">
        <v>286</v>
      </c>
      <c r="M9" s="132" t="s">
        <v>287</v>
      </c>
      <c r="N9" s="134" t="s">
        <v>288</v>
      </c>
      <c r="O9" s="132" t="s">
        <v>289</v>
      </c>
      <c r="P9" s="134" t="s">
        <v>290</v>
      </c>
      <c r="Q9" s="134" t="s">
        <v>291</v>
      </c>
      <c r="R9" s="132" t="s">
        <v>292</v>
      </c>
      <c r="S9" s="132" t="s">
        <v>293</v>
      </c>
      <c r="T9" s="132" t="s">
        <v>294</v>
      </c>
      <c r="U9" s="132" t="s">
        <v>295</v>
      </c>
      <c r="V9" s="132" t="s">
        <v>296</v>
      </c>
    </row>
    <row r="10" spans="1:22" x14ac:dyDescent="0.3">
      <c r="A10" s="132" t="s">
        <v>297</v>
      </c>
      <c r="B10" s="135" t="s">
        <v>298</v>
      </c>
      <c r="C10" s="144" t="s">
        <v>299</v>
      </c>
      <c r="D10" s="132" t="s">
        <v>300</v>
      </c>
      <c r="E10" s="132" t="s">
        <v>301</v>
      </c>
      <c r="F10" s="132" t="s">
        <v>302</v>
      </c>
      <c r="G10" s="132" t="s">
        <v>303</v>
      </c>
      <c r="H10" s="132" t="s">
        <v>304</v>
      </c>
      <c r="I10" s="132" t="s">
        <v>305</v>
      </c>
      <c r="J10" s="132" t="s">
        <v>306</v>
      </c>
      <c r="K10" s="132" t="s">
        <v>307</v>
      </c>
      <c r="L10" s="136" t="s">
        <v>308</v>
      </c>
      <c r="M10" s="132" t="s">
        <v>309</v>
      </c>
      <c r="N10" s="134" t="s">
        <v>310</v>
      </c>
      <c r="O10" s="132" t="s">
        <v>311</v>
      </c>
      <c r="P10" s="134" t="s">
        <v>312</v>
      </c>
      <c r="Q10" s="134" t="s">
        <v>313</v>
      </c>
      <c r="R10" s="132" t="s">
        <v>314</v>
      </c>
      <c r="S10" s="132" t="s">
        <v>315</v>
      </c>
      <c r="T10" s="132" t="s">
        <v>316</v>
      </c>
      <c r="U10" s="132" t="s">
        <v>317</v>
      </c>
      <c r="V10" s="132" t="s">
        <v>318</v>
      </c>
    </row>
    <row r="11" spans="1:22" x14ac:dyDescent="0.3">
      <c r="A11" s="132" t="s">
        <v>319</v>
      </c>
      <c r="B11" s="132" t="s">
        <v>320</v>
      </c>
      <c r="C11" s="132" t="s">
        <v>321</v>
      </c>
      <c r="D11" s="132" t="s">
        <v>322</v>
      </c>
      <c r="E11" s="132" t="s">
        <v>323</v>
      </c>
      <c r="F11" s="132" t="s">
        <v>324</v>
      </c>
      <c r="G11" s="132" t="s">
        <v>325</v>
      </c>
      <c r="H11" s="132" t="s">
        <v>326</v>
      </c>
      <c r="I11" s="132" t="s">
        <v>327</v>
      </c>
      <c r="J11" s="132" t="s">
        <v>328</v>
      </c>
      <c r="K11" s="132" t="s">
        <v>329</v>
      </c>
      <c r="L11" s="132" t="s">
        <v>330</v>
      </c>
      <c r="M11" s="132" t="s">
        <v>331</v>
      </c>
      <c r="N11" s="1"/>
      <c r="O11" s="1"/>
      <c r="P11" s="134" t="s">
        <v>332</v>
      </c>
      <c r="Q11" s="134" t="s">
        <v>333</v>
      </c>
      <c r="R11" s="132" t="s">
        <v>334</v>
      </c>
      <c r="S11" s="132" t="s">
        <v>335</v>
      </c>
      <c r="T11" s="132" t="s">
        <v>336</v>
      </c>
      <c r="U11" s="132" t="s">
        <v>337</v>
      </c>
      <c r="V11" s="132" t="s">
        <v>338</v>
      </c>
    </row>
    <row r="12" spans="1:22" x14ac:dyDescent="0.3">
      <c r="A12" s="132" t="s">
        <v>339</v>
      </c>
      <c r="B12" s="135" t="s">
        <v>340</v>
      </c>
      <c r="C12" s="132" t="s">
        <v>341</v>
      </c>
      <c r="D12" s="132" t="s">
        <v>342</v>
      </c>
      <c r="E12" s="135" t="s">
        <v>343</v>
      </c>
      <c r="F12" s="132" t="s">
        <v>344</v>
      </c>
      <c r="G12" s="137"/>
      <c r="H12" s="132" t="s">
        <v>345</v>
      </c>
      <c r="I12" s="132" t="s">
        <v>346</v>
      </c>
      <c r="J12" s="132" t="s">
        <v>347</v>
      </c>
      <c r="K12" s="132" t="s">
        <v>348</v>
      </c>
      <c r="L12" s="132" t="s">
        <v>349</v>
      </c>
      <c r="M12" s="132" t="s">
        <v>350</v>
      </c>
      <c r="N12" s="1"/>
      <c r="O12" s="1"/>
      <c r="P12" s="1"/>
      <c r="Q12" s="134" t="s">
        <v>351</v>
      </c>
      <c r="R12" s="132" t="s">
        <v>352</v>
      </c>
      <c r="S12" s="132" t="s">
        <v>353</v>
      </c>
      <c r="T12" s="132" t="s">
        <v>354</v>
      </c>
      <c r="U12" s="132" t="s">
        <v>355</v>
      </c>
      <c r="V12" s="132" t="s">
        <v>356</v>
      </c>
    </row>
    <row r="13" spans="1:22" x14ac:dyDescent="0.3">
      <c r="A13" s="132" t="s">
        <v>357</v>
      </c>
      <c r="B13" s="132" t="s">
        <v>358</v>
      </c>
      <c r="C13" s="143" t="s">
        <v>359</v>
      </c>
      <c r="D13" s="135" t="s">
        <v>360</v>
      </c>
      <c r="E13" s="132" t="s">
        <v>361</v>
      </c>
      <c r="F13" s="132" t="s">
        <v>362</v>
      </c>
      <c r="G13" s="137"/>
      <c r="H13" s="132" t="s">
        <v>363</v>
      </c>
      <c r="I13" s="132" t="s">
        <v>364</v>
      </c>
      <c r="J13" s="132" t="s">
        <v>365</v>
      </c>
      <c r="K13" s="132" t="s">
        <v>183</v>
      </c>
      <c r="L13" s="132" t="s">
        <v>366</v>
      </c>
      <c r="M13" s="132" t="s">
        <v>367</v>
      </c>
      <c r="N13" s="1"/>
      <c r="O13" s="1"/>
      <c r="P13" s="1"/>
      <c r="Q13" s="134" t="s">
        <v>368</v>
      </c>
      <c r="R13" s="132" t="s">
        <v>369</v>
      </c>
      <c r="S13" s="132" t="s">
        <v>370</v>
      </c>
      <c r="T13" s="132" t="s">
        <v>371</v>
      </c>
      <c r="U13" s="132" t="s">
        <v>372</v>
      </c>
      <c r="V13" s="132" t="s">
        <v>373</v>
      </c>
    </row>
    <row r="14" spans="1:22" x14ac:dyDescent="0.3">
      <c r="A14" s="132" t="s">
        <v>374</v>
      </c>
      <c r="B14" s="132" t="s">
        <v>375</v>
      </c>
      <c r="C14" s="132" t="s">
        <v>376</v>
      </c>
      <c r="D14" s="132" t="s">
        <v>377</v>
      </c>
      <c r="E14" s="132" t="s">
        <v>378</v>
      </c>
      <c r="F14" s="132" t="s">
        <v>379</v>
      </c>
      <c r="G14" s="137"/>
      <c r="H14" s="132" t="s">
        <v>380</v>
      </c>
      <c r="I14" s="132" t="s">
        <v>381</v>
      </c>
      <c r="J14" s="132" t="s">
        <v>382</v>
      </c>
      <c r="K14" s="132" t="s">
        <v>383</v>
      </c>
      <c r="L14" s="132" t="s">
        <v>384</v>
      </c>
      <c r="M14" s="132" t="s">
        <v>248</v>
      </c>
      <c r="N14" s="1"/>
      <c r="O14" s="1"/>
      <c r="P14" s="1"/>
      <c r="Q14" s="134" t="s">
        <v>385</v>
      </c>
      <c r="R14" s="132" t="s">
        <v>386</v>
      </c>
      <c r="S14" s="1"/>
      <c r="T14" s="132" t="s">
        <v>387</v>
      </c>
      <c r="U14" s="132" t="s">
        <v>388</v>
      </c>
      <c r="V14" s="132" t="s">
        <v>389</v>
      </c>
    </row>
    <row r="15" spans="1:22" x14ac:dyDescent="0.3">
      <c r="A15" s="132" t="s">
        <v>390</v>
      </c>
      <c r="B15" s="132" t="s">
        <v>391</v>
      </c>
      <c r="C15" s="135" t="s">
        <v>392</v>
      </c>
      <c r="D15" s="132" t="s">
        <v>393</v>
      </c>
      <c r="E15" s="132" t="s">
        <v>394</v>
      </c>
      <c r="F15" s="135" t="s">
        <v>395</v>
      </c>
      <c r="G15" s="137"/>
      <c r="H15" s="135" t="s">
        <v>396</v>
      </c>
      <c r="I15" s="132" t="s">
        <v>397</v>
      </c>
      <c r="J15" s="132" t="s">
        <v>398</v>
      </c>
      <c r="K15" s="132" t="s">
        <v>399</v>
      </c>
      <c r="L15" s="132" t="s">
        <v>400</v>
      </c>
      <c r="M15" s="132" t="s">
        <v>401</v>
      </c>
      <c r="N15" s="1"/>
      <c r="O15" s="1"/>
      <c r="P15" s="1"/>
      <c r="Q15" s="134" t="s">
        <v>402</v>
      </c>
      <c r="R15" s="132" t="s">
        <v>403</v>
      </c>
      <c r="S15" s="1"/>
      <c r="T15" s="132" t="s">
        <v>404</v>
      </c>
      <c r="U15" s="132" t="s">
        <v>405</v>
      </c>
      <c r="V15" s="132" t="s">
        <v>406</v>
      </c>
    </row>
    <row r="16" spans="1:22" x14ac:dyDescent="0.3">
      <c r="A16" s="132" t="s">
        <v>407</v>
      </c>
      <c r="B16" s="132" t="s">
        <v>408</v>
      </c>
      <c r="C16" s="132" t="s">
        <v>409</v>
      </c>
      <c r="D16" s="132" t="s">
        <v>410</v>
      </c>
      <c r="E16" s="132" t="s">
        <v>411</v>
      </c>
      <c r="F16" s="137"/>
      <c r="G16" s="137"/>
      <c r="H16" s="132" t="s">
        <v>412</v>
      </c>
      <c r="I16" s="132" t="s">
        <v>413</v>
      </c>
      <c r="J16" s="1"/>
      <c r="K16" s="135" t="s">
        <v>414</v>
      </c>
      <c r="L16" s="132" t="s">
        <v>415</v>
      </c>
      <c r="M16" s="132" t="s">
        <v>351</v>
      </c>
      <c r="N16" s="1"/>
      <c r="O16" s="1"/>
      <c r="P16" s="1"/>
      <c r="Q16" s="134" t="s">
        <v>416</v>
      </c>
      <c r="R16" s="132" t="s">
        <v>417</v>
      </c>
      <c r="S16" s="1"/>
      <c r="T16" s="132" t="s">
        <v>418</v>
      </c>
      <c r="U16" s="132" t="s">
        <v>419</v>
      </c>
      <c r="V16" s="132" t="s">
        <v>420</v>
      </c>
    </row>
    <row r="17" spans="1:22" x14ac:dyDescent="0.3">
      <c r="A17" s="132" t="s">
        <v>421</v>
      </c>
      <c r="B17" s="132" t="s">
        <v>422</v>
      </c>
      <c r="C17" s="132" t="s">
        <v>423</v>
      </c>
      <c r="D17" s="132" t="s">
        <v>424</v>
      </c>
      <c r="E17" s="132" t="s">
        <v>425</v>
      </c>
      <c r="F17" s="137"/>
      <c r="G17" s="137"/>
      <c r="H17" s="132" t="s">
        <v>426</v>
      </c>
      <c r="I17" s="132" t="s">
        <v>427</v>
      </c>
      <c r="J17" s="1"/>
      <c r="K17" s="132" t="s">
        <v>428</v>
      </c>
      <c r="L17" s="132" t="s">
        <v>429</v>
      </c>
      <c r="M17" s="132" t="s">
        <v>430</v>
      </c>
      <c r="N17" s="1"/>
      <c r="O17" s="1"/>
      <c r="P17" s="1"/>
      <c r="Q17" s="134" t="s">
        <v>431</v>
      </c>
      <c r="R17" s="132" t="s">
        <v>432</v>
      </c>
      <c r="S17" s="1"/>
      <c r="T17" s="132" t="s">
        <v>433</v>
      </c>
      <c r="U17" s="132" t="s">
        <v>434</v>
      </c>
      <c r="V17" s="132" t="s">
        <v>435</v>
      </c>
    </row>
    <row r="18" spans="1:22" x14ac:dyDescent="0.3">
      <c r="A18" s="132" t="s">
        <v>436</v>
      </c>
      <c r="B18" s="132" t="s">
        <v>437</v>
      </c>
      <c r="C18" s="132" t="s">
        <v>438</v>
      </c>
      <c r="D18" s="132" t="s">
        <v>439</v>
      </c>
      <c r="E18" s="132" t="s">
        <v>440</v>
      </c>
      <c r="F18" s="137"/>
      <c r="G18" s="137"/>
      <c r="H18" s="137" t="s">
        <v>441</v>
      </c>
      <c r="I18" s="137"/>
      <c r="J18" s="1"/>
      <c r="K18" s="132" t="s">
        <v>442</v>
      </c>
      <c r="L18" s="132" t="s">
        <v>443</v>
      </c>
      <c r="M18" s="132" t="s">
        <v>444</v>
      </c>
      <c r="N18" s="1"/>
      <c r="O18" s="1"/>
      <c r="P18" s="1"/>
      <c r="Q18" s="1"/>
      <c r="R18" s="132" t="s">
        <v>445</v>
      </c>
      <c r="S18" s="1"/>
      <c r="T18" s="132" t="s">
        <v>446</v>
      </c>
      <c r="U18" s="132" t="s">
        <v>447</v>
      </c>
      <c r="V18" s="132" t="s">
        <v>448</v>
      </c>
    </row>
    <row r="19" spans="1:22" x14ac:dyDescent="0.3">
      <c r="A19" s="132" t="s">
        <v>449</v>
      </c>
      <c r="B19" s="132" t="s">
        <v>450</v>
      </c>
      <c r="C19" s="132" t="s">
        <v>451</v>
      </c>
      <c r="D19" s="135" t="s">
        <v>452</v>
      </c>
      <c r="E19" s="137"/>
      <c r="F19" s="137"/>
      <c r="G19" s="137"/>
      <c r="H19" s="137"/>
      <c r="I19" s="137"/>
      <c r="J19" s="1"/>
      <c r="K19" s="132" t="s">
        <v>453</v>
      </c>
      <c r="L19" s="132" t="s">
        <v>454</v>
      </c>
      <c r="M19" s="132" t="s">
        <v>455</v>
      </c>
      <c r="N19" s="1"/>
      <c r="O19" s="1"/>
      <c r="P19" s="1"/>
      <c r="Q19" s="1"/>
      <c r="R19" s="132" t="s">
        <v>456</v>
      </c>
      <c r="S19" s="1"/>
      <c r="T19" s="132" t="s">
        <v>457</v>
      </c>
      <c r="U19" s="132" t="s">
        <v>458</v>
      </c>
      <c r="V19" s="132" t="s">
        <v>459</v>
      </c>
    </row>
    <row r="20" spans="1:22" x14ac:dyDescent="0.3">
      <c r="A20" s="132" t="s">
        <v>460</v>
      </c>
      <c r="B20" s="132" t="s">
        <v>461</v>
      </c>
      <c r="C20" s="132" t="s">
        <v>462</v>
      </c>
      <c r="D20" s="132" t="s">
        <v>463</v>
      </c>
      <c r="E20" s="137"/>
      <c r="F20" s="137"/>
      <c r="G20" s="137"/>
      <c r="H20" s="137"/>
      <c r="I20" s="137"/>
      <c r="J20" s="1"/>
      <c r="K20" s="132" t="s">
        <v>464</v>
      </c>
      <c r="L20" s="132" t="s">
        <v>465</v>
      </c>
      <c r="M20" s="135" t="s">
        <v>466</v>
      </c>
      <c r="N20" s="1"/>
      <c r="O20" s="1"/>
      <c r="P20" s="1"/>
      <c r="Q20" s="1"/>
      <c r="R20" s="132" t="s">
        <v>467</v>
      </c>
      <c r="S20" s="1"/>
      <c r="T20" s="132" t="s">
        <v>468</v>
      </c>
      <c r="U20" s="132" t="s">
        <v>469</v>
      </c>
      <c r="V20" s="132" t="s">
        <v>470</v>
      </c>
    </row>
    <row r="21" spans="1:22" x14ac:dyDescent="0.3">
      <c r="A21" s="132" t="s">
        <v>471</v>
      </c>
      <c r="B21" s="132" t="s">
        <v>472</v>
      </c>
      <c r="C21" s="132" t="s">
        <v>473</v>
      </c>
      <c r="D21" s="132" t="s">
        <v>474</v>
      </c>
      <c r="E21" s="137"/>
      <c r="F21" s="137"/>
      <c r="G21" s="137"/>
      <c r="H21" s="137"/>
      <c r="I21" s="137"/>
      <c r="J21" s="1"/>
      <c r="K21" s="132" t="s">
        <v>475</v>
      </c>
      <c r="L21" s="132" t="s">
        <v>205</v>
      </c>
      <c r="M21" s="132" t="s">
        <v>385</v>
      </c>
      <c r="N21" s="1"/>
      <c r="O21" s="1"/>
      <c r="P21" s="1"/>
      <c r="Q21" s="1"/>
      <c r="R21" s="132" t="s">
        <v>476</v>
      </c>
      <c r="S21" s="1"/>
      <c r="T21" s="1"/>
      <c r="U21" s="132" t="s">
        <v>477</v>
      </c>
      <c r="V21" s="132" t="s">
        <v>478</v>
      </c>
    </row>
    <row r="22" spans="1:22" x14ac:dyDescent="0.3">
      <c r="A22" s="132" t="s">
        <v>479</v>
      </c>
      <c r="B22" s="132" t="s">
        <v>480</v>
      </c>
      <c r="C22" s="132" t="s">
        <v>481</v>
      </c>
      <c r="D22" s="132" t="s">
        <v>482</v>
      </c>
      <c r="E22" s="137"/>
      <c r="F22" s="137"/>
      <c r="G22" s="137"/>
      <c r="H22" s="137"/>
      <c r="I22" s="137"/>
      <c r="J22" s="1"/>
      <c r="K22" s="132" t="s">
        <v>483</v>
      </c>
      <c r="L22" s="132" t="s">
        <v>227</v>
      </c>
      <c r="M22" s="132" t="s">
        <v>402</v>
      </c>
      <c r="N22" s="1"/>
      <c r="O22" s="1"/>
      <c r="P22" s="1"/>
      <c r="Q22" s="1"/>
      <c r="R22" s="132" t="s">
        <v>484</v>
      </c>
      <c r="S22" s="1"/>
      <c r="T22" s="1"/>
      <c r="U22" s="132" t="s">
        <v>485</v>
      </c>
      <c r="V22" s="132" t="s">
        <v>486</v>
      </c>
    </row>
    <row r="23" spans="1:22" x14ac:dyDescent="0.3">
      <c r="A23" s="132" t="s">
        <v>487</v>
      </c>
      <c r="B23" s="132" t="s">
        <v>488</v>
      </c>
      <c r="C23" s="132" t="s">
        <v>489</v>
      </c>
      <c r="D23" s="132" t="s">
        <v>490</v>
      </c>
      <c r="E23" s="137"/>
      <c r="F23" s="137"/>
      <c r="G23" s="137"/>
      <c r="H23" s="137"/>
      <c r="I23" s="137"/>
      <c r="J23" s="1" t="s">
        <v>491</v>
      </c>
      <c r="K23" s="132" t="s">
        <v>492</v>
      </c>
      <c r="L23" s="132" t="s">
        <v>291</v>
      </c>
      <c r="M23" s="132" t="s">
        <v>416</v>
      </c>
      <c r="N23" s="1"/>
      <c r="O23" s="1"/>
      <c r="P23" s="1"/>
      <c r="Q23" s="1"/>
      <c r="R23" s="132" t="s">
        <v>493</v>
      </c>
      <c r="S23" s="1"/>
      <c r="T23" s="1"/>
      <c r="U23" s="132" t="s">
        <v>494</v>
      </c>
      <c r="V23" s="132" t="s">
        <v>495</v>
      </c>
    </row>
    <row r="24" spans="1:22" x14ac:dyDescent="0.3">
      <c r="A24" s="132" t="s">
        <v>496</v>
      </c>
      <c r="B24" s="132" t="s">
        <v>497</v>
      </c>
      <c r="C24" s="135" t="s">
        <v>498</v>
      </c>
      <c r="D24" s="132" t="s">
        <v>499</v>
      </c>
      <c r="E24" s="137"/>
      <c r="F24" s="137"/>
      <c r="G24" s="137"/>
      <c r="H24" s="137"/>
      <c r="I24" s="137"/>
      <c r="J24" s="1"/>
      <c r="K24" s="132" t="s">
        <v>500</v>
      </c>
      <c r="L24" s="135" t="s">
        <v>501</v>
      </c>
      <c r="M24" s="132" t="s">
        <v>502</v>
      </c>
      <c r="N24" s="1"/>
      <c r="O24" s="1"/>
      <c r="P24" s="1"/>
      <c r="Q24" s="1"/>
      <c r="R24" s="132" t="s">
        <v>503</v>
      </c>
      <c r="S24" s="1"/>
      <c r="T24" s="1"/>
      <c r="U24" s="132" t="s">
        <v>504</v>
      </c>
      <c r="V24" s="132" t="s">
        <v>505</v>
      </c>
    </row>
    <row r="25" spans="1:22" x14ac:dyDescent="0.3">
      <c r="A25" s="132" t="s">
        <v>506</v>
      </c>
      <c r="B25" s="132" t="s">
        <v>507</v>
      </c>
      <c r="C25" s="132" t="s">
        <v>508</v>
      </c>
      <c r="D25" s="132" t="s">
        <v>509</v>
      </c>
      <c r="E25" s="137"/>
      <c r="F25" s="137"/>
      <c r="G25" s="137"/>
      <c r="H25" s="137"/>
      <c r="I25" s="137"/>
      <c r="J25" s="1"/>
      <c r="K25" s="132" t="s">
        <v>510</v>
      </c>
      <c r="L25" s="132" t="s">
        <v>313</v>
      </c>
      <c r="M25" s="132" t="s">
        <v>380</v>
      </c>
      <c r="N25" s="1"/>
      <c r="O25" s="1"/>
      <c r="P25" s="1"/>
      <c r="Q25" s="1"/>
      <c r="R25" s="132" t="s">
        <v>511</v>
      </c>
      <c r="S25" s="1"/>
      <c r="T25" s="1"/>
      <c r="U25" s="132" t="s">
        <v>512</v>
      </c>
      <c r="V25" s="132" t="s">
        <v>513</v>
      </c>
    </row>
    <row r="26" spans="1:22" x14ac:dyDescent="0.3">
      <c r="A26" s="132" t="s">
        <v>514</v>
      </c>
      <c r="B26" s="138"/>
      <c r="C26" s="135" t="s">
        <v>515</v>
      </c>
      <c r="D26" s="132" t="s">
        <v>516</v>
      </c>
      <c r="E26" s="137"/>
      <c r="F26" s="137"/>
      <c r="G26" s="137"/>
      <c r="H26" s="137"/>
      <c r="I26" s="137"/>
      <c r="J26" s="1"/>
      <c r="K26" s="132" t="s">
        <v>517</v>
      </c>
      <c r="L26" s="132" t="s">
        <v>333</v>
      </c>
      <c r="M26" s="132" t="s">
        <v>518</v>
      </c>
      <c r="N26" s="1"/>
      <c r="O26" s="1"/>
      <c r="P26" s="1"/>
      <c r="Q26" s="1"/>
      <c r="R26" s="132" t="s">
        <v>519</v>
      </c>
      <c r="S26" s="1"/>
      <c r="T26" s="1"/>
      <c r="U26" s="132" t="s">
        <v>520</v>
      </c>
      <c r="V26" s="132" t="s">
        <v>521</v>
      </c>
    </row>
    <row r="27" spans="1:22" x14ac:dyDescent="0.3">
      <c r="A27" s="132" t="s">
        <v>522</v>
      </c>
      <c r="B27" s="138"/>
      <c r="C27" s="135" t="s">
        <v>523</v>
      </c>
      <c r="D27" s="132" t="s">
        <v>524</v>
      </c>
      <c r="E27" s="137"/>
      <c r="F27" s="137"/>
      <c r="G27" s="137"/>
      <c r="H27" s="137"/>
      <c r="I27" s="137"/>
      <c r="J27" s="1"/>
      <c r="K27" s="132" t="s">
        <v>525</v>
      </c>
      <c r="L27" s="132" t="s">
        <v>526</v>
      </c>
      <c r="M27" s="132" t="s">
        <v>527</v>
      </c>
      <c r="N27" s="1"/>
      <c r="O27" s="1"/>
      <c r="P27" s="1"/>
      <c r="Q27" s="1"/>
      <c r="R27" s="1"/>
      <c r="S27" s="1"/>
      <c r="T27" s="1"/>
      <c r="U27" s="132" t="s">
        <v>528</v>
      </c>
      <c r="V27" s="1"/>
    </row>
    <row r="28" spans="1:22" x14ac:dyDescent="0.3">
      <c r="A28" s="132" t="s">
        <v>529</v>
      </c>
      <c r="B28" s="138"/>
      <c r="C28" s="132" t="s">
        <v>530</v>
      </c>
      <c r="D28" s="132" t="s">
        <v>531</v>
      </c>
      <c r="E28" s="137"/>
      <c r="F28" s="137"/>
      <c r="G28" s="137"/>
      <c r="H28" s="137"/>
      <c r="I28" s="137"/>
      <c r="J28" s="1"/>
      <c r="K28" s="132" t="s">
        <v>532</v>
      </c>
      <c r="L28" s="132" t="s">
        <v>533</v>
      </c>
      <c r="M28" s="132" t="s">
        <v>534</v>
      </c>
      <c r="N28" s="1"/>
      <c r="O28" s="1"/>
      <c r="P28" s="1"/>
      <c r="Q28" s="1"/>
      <c r="R28" s="1"/>
      <c r="S28" s="1"/>
      <c r="T28" s="1"/>
      <c r="U28" s="132" t="s">
        <v>535</v>
      </c>
      <c r="V28" s="1"/>
    </row>
    <row r="29" spans="1:22" x14ac:dyDescent="0.3">
      <c r="A29" s="132" t="s">
        <v>536</v>
      </c>
      <c r="B29" s="137"/>
      <c r="C29" s="132" t="s">
        <v>537</v>
      </c>
      <c r="D29" s="132" t="s">
        <v>538</v>
      </c>
      <c r="E29" s="137"/>
      <c r="F29" s="137"/>
      <c r="G29" s="137"/>
      <c r="H29" s="137"/>
      <c r="I29" s="137"/>
      <c r="J29" s="1"/>
      <c r="K29" s="132" t="s">
        <v>539</v>
      </c>
      <c r="L29" s="132" t="s">
        <v>540</v>
      </c>
      <c r="M29" s="132" t="s">
        <v>541</v>
      </c>
      <c r="N29" s="1"/>
      <c r="O29" s="1"/>
      <c r="P29" s="1"/>
      <c r="Q29" s="1"/>
      <c r="R29" s="1"/>
      <c r="S29" s="1"/>
      <c r="T29" s="1"/>
      <c r="U29" s="132" t="s">
        <v>542</v>
      </c>
      <c r="V29" s="1"/>
    </row>
    <row r="30" spans="1:22" x14ac:dyDescent="0.3">
      <c r="A30" s="132" t="s">
        <v>543</v>
      </c>
      <c r="B30" s="137"/>
      <c r="C30" s="132" t="s">
        <v>544</v>
      </c>
      <c r="D30" s="135" t="s">
        <v>545</v>
      </c>
      <c r="E30" s="137"/>
      <c r="F30" s="137"/>
      <c r="G30" s="137"/>
      <c r="H30" s="137"/>
      <c r="I30" s="137"/>
      <c r="J30" s="1"/>
      <c r="K30" s="132" t="s">
        <v>546</v>
      </c>
      <c r="L30" s="132" t="s">
        <v>547</v>
      </c>
      <c r="M30" s="132" t="s">
        <v>548</v>
      </c>
      <c r="N30" s="1"/>
      <c r="O30" s="1"/>
      <c r="P30" s="1"/>
      <c r="Q30" s="1"/>
      <c r="R30" s="1"/>
      <c r="S30" s="1"/>
      <c r="T30" s="1"/>
      <c r="U30" s="132" t="s">
        <v>549</v>
      </c>
      <c r="V30" s="1"/>
    </row>
    <row r="31" spans="1:22" x14ac:dyDescent="0.3">
      <c r="A31" s="132" t="s">
        <v>550</v>
      </c>
      <c r="B31" s="137"/>
      <c r="C31" s="135" t="s">
        <v>551</v>
      </c>
      <c r="D31" s="132" t="s">
        <v>552</v>
      </c>
      <c r="E31" s="137"/>
      <c r="F31" s="137"/>
      <c r="G31" s="137"/>
      <c r="H31" s="137"/>
      <c r="I31" s="137"/>
      <c r="J31" s="1"/>
      <c r="K31" s="132" t="s">
        <v>553</v>
      </c>
      <c r="L31" s="132" t="s">
        <v>554</v>
      </c>
      <c r="M31" s="132" t="s">
        <v>555</v>
      </c>
      <c r="N31" s="1"/>
      <c r="O31" s="1"/>
      <c r="P31" s="1"/>
      <c r="Q31" s="1"/>
      <c r="R31" s="1"/>
      <c r="S31" s="1"/>
      <c r="T31" s="1"/>
      <c r="U31" s="132" t="s">
        <v>556</v>
      </c>
      <c r="V31" s="1"/>
    </row>
    <row r="32" spans="1:22" x14ac:dyDescent="0.3">
      <c r="A32" s="1"/>
      <c r="B32" s="137"/>
      <c r="C32" s="132" t="s">
        <v>557</v>
      </c>
      <c r="D32" s="137"/>
      <c r="E32" s="137"/>
      <c r="F32" s="137"/>
      <c r="G32" s="137"/>
      <c r="H32" s="137"/>
      <c r="I32" s="137"/>
      <c r="J32" s="1"/>
      <c r="K32" s="1"/>
      <c r="L32" s="135" t="s">
        <v>558</v>
      </c>
      <c r="M32" s="132" t="s">
        <v>559</v>
      </c>
      <c r="N32" s="1"/>
      <c r="O32" s="1"/>
      <c r="P32" s="1"/>
      <c r="Q32" s="1"/>
      <c r="R32" s="1"/>
      <c r="S32" s="1"/>
      <c r="T32" s="1"/>
      <c r="U32" s="132" t="s">
        <v>560</v>
      </c>
      <c r="V32" s="1"/>
    </row>
    <row r="33" spans="1:22" x14ac:dyDescent="0.3">
      <c r="A33" s="139"/>
      <c r="B33" s="140"/>
      <c r="C33" s="141" t="s">
        <v>561</v>
      </c>
      <c r="D33" s="140"/>
      <c r="E33" s="140"/>
      <c r="F33" s="140"/>
      <c r="G33" s="140"/>
      <c r="H33" s="140"/>
      <c r="I33" s="140"/>
      <c r="J33" s="139"/>
      <c r="K33" s="139"/>
      <c r="L33" s="141" t="s">
        <v>562</v>
      </c>
      <c r="M33" s="142" t="s">
        <v>563</v>
      </c>
      <c r="N33" s="1"/>
      <c r="O33" s="1"/>
      <c r="P33" s="1"/>
      <c r="Q33" s="1"/>
      <c r="R33" s="1"/>
      <c r="S33" s="1"/>
      <c r="T33" s="1"/>
      <c r="U33" s="1"/>
      <c r="V33" s="1"/>
    </row>
    <row r="34" spans="1:22" x14ac:dyDescent="0.3">
      <c r="A34" s="1"/>
      <c r="B34" s="137"/>
      <c r="C34" s="135" t="s">
        <v>564</v>
      </c>
      <c r="D34" s="137"/>
      <c r="E34" s="137"/>
      <c r="F34" s="137"/>
      <c r="G34" s="137"/>
      <c r="H34" s="137"/>
      <c r="I34" s="137"/>
      <c r="J34" s="1"/>
      <c r="K34" s="1"/>
      <c r="L34" s="135" t="s">
        <v>565</v>
      </c>
      <c r="M34" s="1"/>
      <c r="N34" s="1"/>
      <c r="O34" s="1"/>
      <c r="P34" s="1"/>
      <c r="Q34" s="1"/>
      <c r="R34" s="1"/>
      <c r="S34" s="1"/>
      <c r="T34" s="1"/>
      <c r="U34" s="1"/>
      <c r="V34" s="1"/>
    </row>
    <row r="35" spans="1:22" x14ac:dyDescent="0.3">
      <c r="A35" s="1"/>
      <c r="B35" s="137"/>
      <c r="C35" s="135" t="s">
        <v>566</v>
      </c>
      <c r="D35" s="137"/>
      <c r="E35" s="137"/>
      <c r="F35" s="137"/>
      <c r="G35" s="137"/>
      <c r="H35" s="137"/>
      <c r="I35" s="137"/>
      <c r="J35" s="1"/>
      <c r="K35" s="1"/>
      <c r="L35" s="132" t="s">
        <v>567</v>
      </c>
      <c r="M35" s="1"/>
      <c r="N35" s="1"/>
      <c r="O35" s="1"/>
      <c r="P35" s="1"/>
      <c r="Q35" s="1"/>
      <c r="R35" s="1"/>
      <c r="S35" s="1"/>
      <c r="T35" s="1"/>
      <c r="U35" s="1"/>
      <c r="V35" s="1"/>
    </row>
    <row r="36" spans="1:22" x14ac:dyDescent="0.3">
      <c r="A36" s="1"/>
      <c r="B36" s="137"/>
      <c r="C36" s="132" t="s">
        <v>568</v>
      </c>
      <c r="D36" s="137"/>
      <c r="E36" s="137"/>
      <c r="F36" s="137"/>
      <c r="G36" s="137"/>
      <c r="H36" s="137"/>
      <c r="I36" s="137"/>
      <c r="J36" s="1"/>
      <c r="K36" s="1"/>
      <c r="L36" s="132" t="s">
        <v>569</v>
      </c>
      <c r="M36" s="1"/>
      <c r="N36" s="1"/>
      <c r="O36" s="1"/>
      <c r="P36" s="1"/>
      <c r="Q36" s="1"/>
      <c r="R36" s="1"/>
      <c r="S36" s="1"/>
      <c r="T36" s="1"/>
      <c r="U36" s="1"/>
      <c r="V36" s="1"/>
    </row>
    <row r="37" spans="1:22" x14ac:dyDescent="0.3">
      <c r="A37" s="1"/>
      <c r="B37" s="137"/>
      <c r="C37" s="132" t="s">
        <v>570</v>
      </c>
      <c r="D37" s="137"/>
      <c r="E37" s="137"/>
      <c r="F37" s="137"/>
      <c r="G37" s="137"/>
      <c r="H37" s="137"/>
      <c r="I37" s="137"/>
      <c r="J37" s="1"/>
      <c r="K37" s="1"/>
      <c r="L37" s="132" t="s">
        <v>571</v>
      </c>
      <c r="M37" s="1"/>
      <c r="N37" s="1"/>
      <c r="O37" s="1"/>
      <c r="P37" s="1"/>
      <c r="Q37" s="1"/>
      <c r="R37" s="1"/>
      <c r="S37" s="1"/>
      <c r="T37" s="1"/>
      <c r="U37" s="1"/>
      <c r="V37" s="1"/>
    </row>
    <row r="38" spans="1:22" x14ac:dyDescent="0.3">
      <c r="A38" s="1"/>
      <c r="B38" s="137"/>
      <c r="C38" s="137"/>
      <c r="D38" s="137"/>
      <c r="E38" s="137"/>
      <c r="F38" s="137"/>
      <c r="G38" s="137"/>
      <c r="H38" s="137"/>
      <c r="I38" s="137"/>
      <c r="J38" s="1"/>
      <c r="K38" s="1"/>
      <c r="L38" s="132" t="s">
        <v>572</v>
      </c>
      <c r="M38" s="1"/>
      <c r="N38" s="1"/>
      <c r="O38" s="1"/>
      <c r="P38" s="1"/>
      <c r="Q38" s="1"/>
      <c r="R38" s="1"/>
      <c r="S38" s="1"/>
      <c r="T38" s="1"/>
      <c r="U38" s="1"/>
      <c r="V38" s="1"/>
    </row>
    <row r="39" spans="1:22" x14ac:dyDescent="0.3">
      <c r="A39" s="1"/>
      <c r="B39" s="137"/>
      <c r="C39" s="137"/>
      <c r="D39" s="137"/>
      <c r="E39" s="137"/>
      <c r="F39" s="137"/>
      <c r="G39" s="137"/>
      <c r="H39" s="137"/>
      <c r="I39" s="137"/>
      <c r="J39" s="1"/>
      <c r="K39" s="1"/>
      <c r="L39" s="132" t="s">
        <v>573</v>
      </c>
      <c r="M39" s="1"/>
      <c r="N39" s="1"/>
      <c r="O39" s="1"/>
      <c r="P39" s="1"/>
      <c r="Q39" s="1"/>
      <c r="R39" s="1"/>
      <c r="S39" s="1"/>
      <c r="T39" s="1"/>
      <c r="U39" s="1"/>
      <c r="V39" s="1"/>
    </row>
    <row r="40" spans="1:22" x14ac:dyDescent="0.3">
      <c r="A40" s="1"/>
      <c r="B40" s="137"/>
      <c r="C40" s="137"/>
      <c r="D40" s="137"/>
      <c r="E40" s="137"/>
      <c r="F40" s="137"/>
      <c r="G40" s="137"/>
      <c r="H40" s="137"/>
      <c r="I40" s="137"/>
      <c r="J40" s="1"/>
      <c r="K40" s="1"/>
      <c r="L40" s="132" t="s">
        <v>574</v>
      </c>
      <c r="M40" s="1"/>
      <c r="N40" s="1"/>
      <c r="O40" s="1"/>
      <c r="P40" s="1"/>
      <c r="Q40" s="1"/>
      <c r="R40" s="1"/>
      <c r="S40" s="1"/>
      <c r="T40" s="1"/>
      <c r="U40" s="1"/>
      <c r="V40" s="1"/>
    </row>
    <row r="41" spans="1:22" x14ac:dyDescent="0.3">
      <c r="A41" s="1"/>
      <c r="B41" s="137"/>
      <c r="C41" s="137"/>
      <c r="D41" s="137"/>
      <c r="E41" s="137"/>
      <c r="F41" s="137"/>
      <c r="G41" s="137"/>
      <c r="H41" s="137"/>
      <c r="I41" s="137"/>
      <c r="J41" s="1"/>
      <c r="K41" s="1"/>
      <c r="L41" s="132" t="s">
        <v>575</v>
      </c>
      <c r="M41" s="1"/>
      <c r="N41" s="1"/>
      <c r="O41" s="1"/>
      <c r="P41" s="1"/>
      <c r="Q41" s="1"/>
      <c r="R41" s="1"/>
      <c r="S41" s="1"/>
      <c r="T41" s="1"/>
      <c r="U41" s="1"/>
      <c r="V41" s="1"/>
    </row>
    <row r="42" spans="1:22" x14ac:dyDescent="0.3">
      <c r="A42" s="1"/>
      <c r="B42" s="137"/>
      <c r="C42" s="137"/>
      <c r="D42" s="137"/>
      <c r="E42" s="137"/>
      <c r="F42" s="137"/>
      <c r="G42" s="137"/>
      <c r="H42" s="137"/>
      <c r="I42" s="137"/>
      <c r="J42" s="1"/>
      <c r="K42" s="1"/>
      <c r="L42" s="132" t="s">
        <v>576</v>
      </c>
      <c r="M42" s="1"/>
      <c r="N42" s="1"/>
      <c r="O42" s="1"/>
      <c r="P42" s="1"/>
      <c r="Q42" s="1"/>
      <c r="R42" s="1"/>
      <c r="S42" s="1"/>
      <c r="T42" s="1"/>
      <c r="U42" s="1"/>
      <c r="V42" s="1"/>
    </row>
    <row r="43" spans="1:22" x14ac:dyDescent="0.3">
      <c r="A43" s="1"/>
      <c r="B43" s="137"/>
      <c r="C43" s="137"/>
      <c r="D43" s="137"/>
      <c r="E43" s="137"/>
      <c r="F43" s="137"/>
      <c r="G43" s="137"/>
      <c r="H43" s="137"/>
      <c r="I43" s="137"/>
      <c r="J43" s="1"/>
      <c r="K43" s="1"/>
      <c r="L43" s="132" t="s">
        <v>577</v>
      </c>
      <c r="M43" s="1"/>
      <c r="N43" s="1"/>
      <c r="O43" s="1"/>
      <c r="P43" s="1"/>
      <c r="Q43" s="1"/>
      <c r="R43" s="1"/>
      <c r="S43" s="1"/>
      <c r="T43" s="1"/>
      <c r="U43" s="1"/>
      <c r="V43" s="1"/>
    </row>
    <row r="44" spans="1:22" x14ac:dyDescent="0.3">
      <c r="A44" s="1"/>
      <c r="B44" s="137"/>
      <c r="C44" s="137"/>
      <c r="D44" s="137"/>
      <c r="E44" s="137"/>
      <c r="F44" s="137"/>
      <c r="G44" s="137"/>
      <c r="H44" s="137"/>
      <c r="I44" s="137"/>
      <c r="J44" s="1"/>
      <c r="K44" s="1"/>
      <c r="L44" s="132" t="s">
        <v>578</v>
      </c>
      <c r="M44" s="1"/>
      <c r="N44" s="1"/>
      <c r="O44" s="1"/>
      <c r="P44" s="1"/>
      <c r="Q44" s="1"/>
      <c r="R44" s="1"/>
      <c r="S44" s="1"/>
      <c r="T44" s="1"/>
      <c r="U44" s="1"/>
      <c r="V44" s="1"/>
    </row>
    <row r="45" spans="1:22" x14ac:dyDescent="0.3">
      <c r="A45" s="1"/>
      <c r="B45" s="137"/>
      <c r="C45" s="137"/>
      <c r="D45" s="137"/>
      <c r="E45" s="137"/>
      <c r="F45" s="137"/>
      <c r="G45" s="137"/>
      <c r="H45" s="137"/>
      <c r="I45" s="137"/>
      <c r="J45" s="1"/>
      <c r="K45" s="1"/>
      <c r="L45" s="132" t="s">
        <v>579</v>
      </c>
      <c r="M45" s="1"/>
      <c r="N45" s="1"/>
      <c r="O45" s="1"/>
      <c r="P45" s="1"/>
      <c r="Q45" s="1"/>
      <c r="R45" s="1"/>
      <c r="S45" s="1"/>
      <c r="T45" s="1"/>
      <c r="U45" s="1"/>
      <c r="V45" s="1"/>
    </row>
    <row r="46" spans="1:22" x14ac:dyDescent="0.3">
      <c r="A46" s="1"/>
      <c r="B46" s="137"/>
      <c r="C46" s="137"/>
      <c r="D46" s="137"/>
      <c r="E46" s="137"/>
      <c r="F46" s="137"/>
      <c r="G46" s="137"/>
      <c r="H46" s="137"/>
      <c r="I46" s="137"/>
      <c r="J46" s="1"/>
      <c r="K46" s="1"/>
      <c r="L46" s="132" t="s">
        <v>580</v>
      </c>
      <c r="M46" s="1"/>
      <c r="N46" s="1"/>
      <c r="O46" s="1"/>
      <c r="P46" s="1"/>
      <c r="Q46" s="1"/>
      <c r="R46" s="1"/>
      <c r="S46" s="1"/>
      <c r="T46" s="1"/>
      <c r="U46" s="1"/>
      <c r="V46" s="1"/>
    </row>
    <row r="47" spans="1:22" x14ac:dyDescent="0.3">
      <c r="A47" s="1"/>
      <c r="B47" s="137"/>
      <c r="C47" s="137"/>
      <c r="D47" s="137"/>
      <c r="E47" s="137"/>
      <c r="F47" s="137"/>
      <c r="G47" s="137"/>
      <c r="H47" s="137"/>
      <c r="I47" s="137"/>
      <c r="J47" s="1"/>
      <c r="K47" s="1"/>
      <c r="L47" s="135" t="s">
        <v>581</v>
      </c>
      <c r="M47" s="1"/>
      <c r="N47" s="1"/>
      <c r="O47" s="1"/>
      <c r="P47" s="1"/>
      <c r="Q47" s="1"/>
      <c r="R47" s="1"/>
      <c r="S47" s="1"/>
      <c r="T47" s="1"/>
      <c r="U47" s="1"/>
      <c r="V47" s="1"/>
    </row>
    <row r="48" spans="1:22" x14ac:dyDescent="0.3">
      <c r="A48" s="1"/>
      <c r="B48" s="137"/>
      <c r="C48" s="137"/>
      <c r="D48" s="137"/>
      <c r="E48" s="137"/>
      <c r="F48" s="137"/>
      <c r="G48" s="137"/>
      <c r="H48" s="137"/>
      <c r="I48" s="137"/>
      <c r="J48" s="1"/>
      <c r="K48" s="1"/>
      <c r="L48" s="132" t="s">
        <v>582</v>
      </c>
      <c r="M48" s="1"/>
      <c r="N48" s="1"/>
      <c r="O48" s="1"/>
      <c r="P48" s="1"/>
      <c r="Q48" s="1"/>
      <c r="R48" s="1"/>
      <c r="S48" s="1"/>
      <c r="T48" s="1"/>
      <c r="U48" s="1"/>
      <c r="V48" s="1"/>
    </row>
    <row r="49" spans="1:22" x14ac:dyDescent="0.3">
      <c r="A49" s="1"/>
      <c r="B49" s="137"/>
      <c r="C49" s="137"/>
      <c r="D49" s="137"/>
      <c r="E49" s="137"/>
      <c r="F49" s="137"/>
      <c r="G49" s="137"/>
      <c r="H49" s="137"/>
      <c r="I49" s="137"/>
      <c r="J49" s="1"/>
      <c r="K49" s="1"/>
      <c r="L49" s="132" t="s">
        <v>583</v>
      </c>
      <c r="M49" s="1"/>
      <c r="N49" s="1"/>
      <c r="O49" s="1"/>
      <c r="P49" s="1"/>
      <c r="Q49" s="1"/>
      <c r="R49" s="1"/>
      <c r="S49" s="1"/>
      <c r="T49" s="1"/>
      <c r="U49" s="1"/>
      <c r="V49" s="1"/>
    </row>
    <row r="50" spans="1:22" x14ac:dyDescent="0.3">
      <c r="A50" s="1"/>
      <c r="B50" s="137"/>
      <c r="C50" s="137"/>
      <c r="D50" s="137"/>
      <c r="E50" s="137"/>
      <c r="F50" s="137"/>
      <c r="G50" s="137"/>
      <c r="H50" s="137"/>
      <c r="I50" s="137"/>
      <c r="J50" s="1"/>
      <c r="K50" s="1"/>
      <c r="L50" s="132" t="s">
        <v>584</v>
      </c>
      <c r="M50" s="1"/>
      <c r="N50" s="1"/>
      <c r="O50" s="1"/>
      <c r="P50" s="1"/>
      <c r="Q50" s="1"/>
      <c r="R50" s="1"/>
      <c r="S50" s="1"/>
      <c r="T50" s="1"/>
      <c r="U50" s="1"/>
      <c r="V50" s="1"/>
    </row>
    <row r="51" spans="1:22" x14ac:dyDescent="0.3">
      <c r="A51" s="1"/>
      <c r="B51" s="137"/>
      <c r="C51" s="137"/>
      <c r="D51" s="137"/>
      <c r="E51" s="137"/>
      <c r="F51" s="137"/>
      <c r="G51" s="137"/>
      <c r="H51" s="137"/>
      <c r="I51" s="137"/>
      <c r="J51" s="1"/>
      <c r="K51" s="1"/>
      <c r="L51" s="132" t="s">
        <v>585</v>
      </c>
      <c r="M51" s="1"/>
      <c r="N51" s="1"/>
      <c r="O51" s="1"/>
      <c r="P51" s="1"/>
      <c r="Q51" s="1"/>
      <c r="R51" s="1"/>
      <c r="S51" s="1"/>
      <c r="T51" s="1"/>
      <c r="U51" s="1"/>
      <c r="V51" s="1"/>
    </row>
    <row r="52" spans="1:22" x14ac:dyDescent="0.3">
      <c r="A52" s="1"/>
      <c r="B52" s="137"/>
      <c r="C52" s="137"/>
      <c r="D52" s="137"/>
      <c r="E52" s="137"/>
      <c r="F52" s="137"/>
      <c r="G52" s="137"/>
      <c r="H52" s="137"/>
      <c r="I52" s="137"/>
      <c r="J52" s="1"/>
      <c r="K52" s="1"/>
      <c r="L52" s="132" t="s">
        <v>586</v>
      </c>
      <c r="M52" s="1"/>
      <c r="N52" s="1"/>
      <c r="O52" s="1"/>
      <c r="P52" s="1"/>
      <c r="Q52" s="1"/>
      <c r="R52" s="1"/>
      <c r="S52" s="1"/>
      <c r="T52" s="1"/>
      <c r="U52" s="1"/>
      <c r="V52" s="1"/>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workbookViewId="0">
      <selection activeCell="B6" sqref="B6"/>
    </sheetView>
  </sheetViews>
  <sheetFormatPr defaultRowHeight="14.4" x14ac:dyDescent="0.3"/>
  <cols>
    <col min="1" max="1" width="22.6640625" style="12" customWidth="1"/>
    <col min="2" max="2" width="39.6640625" style="12" customWidth="1"/>
    <col min="3" max="3" width="17.5546875" style="12" customWidth="1"/>
    <col min="4" max="4" width="17.88671875" style="12" customWidth="1"/>
    <col min="5" max="7" width="22.44140625" style="12" customWidth="1"/>
  </cols>
  <sheetData>
    <row r="1" spans="1:7" ht="15" thickBot="1" x14ac:dyDescent="0.35"/>
    <row r="2" spans="1:7" ht="162" customHeight="1" thickBot="1" x14ac:dyDescent="0.35">
      <c r="A2" s="13" t="s">
        <v>37</v>
      </c>
      <c r="B2" s="217" t="s">
        <v>38</v>
      </c>
      <c r="C2" s="217"/>
      <c r="D2" s="217"/>
      <c r="E2" s="217"/>
      <c r="F2" s="217"/>
      <c r="G2" s="218"/>
    </row>
    <row r="3" spans="1:7" ht="15" thickBot="1" x14ac:dyDescent="0.35"/>
    <row r="4" spans="1:7" x14ac:dyDescent="0.3">
      <c r="A4" s="219" t="s">
        <v>51</v>
      </c>
      <c r="B4" s="222" t="s">
        <v>39</v>
      </c>
      <c r="C4" s="223"/>
      <c r="D4" s="223"/>
      <c r="E4" s="223"/>
      <c r="F4" s="223"/>
      <c r="G4" s="224"/>
    </row>
    <row r="5" spans="1:7" ht="28.8" x14ac:dyDescent="0.3">
      <c r="A5" s="220"/>
      <c r="B5" s="14" t="s">
        <v>40</v>
      </c>
      <c r="C5" s="15" t="s">
        <v>41</v>
      </c>
      <c r="D5" s="14" t="s">
        <v>42</v>
      </c>
      <c r="E5" s="16" t="s">
        <v>43</v>
      </c>
      <c r="F5" s="16" t="s">
        <v>44</v>
      </c>
      <c r="G5" s="17" t="s">
        <v>45</v>
      </c>
    </row>
    <row r="6" spans="1:7" ht="30" customHeight="1" thickBot="1" x14ac:dyDescent="0.35">
      <c r="A6" s="221"/>
      <c r="B6" s="18"/>
      <c r="C6" s="18"/>
      <c r="D6" s="19">
        <f>C6-B6</f>
        <v>0</v>
      </c>
      <c r="E6" s="20">
        <f>D6-11</f>
        <v>-11</v>
      </c>
      <c r="F6" s="21"/>
      <c r="G6" s="22">
        <f>(F6*0.2%)*E6</f>
        <v>0</v>
      </c>
    </row>
    <row r="7" spans="1:7" ht="15" thickBot="1" x14ac:dyDescent="0.35">
      <c r="A7" s="23"/>
      <c r="B7" s="24"/>
      <c r="C7" s="24"/>
      <c r="D7" s="25"/>
      <c r="E7" s="26"/>
      <c r="F7" s="27"/>
      <c r="G7" s="28"/>
    </row>
    <row r="8" spans="1:7" x14ac:dyDescent="0.3">
      <c r="A8" s="225" t="s">
        <v>52</v>
      </c>
      <c r="B8" s="228" t="s">
        <v>46</v>
      </c>
      <c r="C8" s="229"/>
      <c r="D8" s="229"/>
      <c r="E8" s="229"/>
      <c r="F8" s="229"/>
      <c r="G8" s="230"/>
    </row>
    <row r="9" spans="1:7" x14ac:dyDescent="0.3">
      <c r="A9" s="226"/>
      <c r="B9" s="231"/>
      <c r="C9" s="232"/>
      <c r="D9" s="232"/>
      <c r="E9" s="232"/>
      <c r="F9" s="232"/>
      <c r="G9" s="233"/>
    </row>
    <row r="10" spans="1:7" ht="28.8" x14ac:dyDescent="0.3">
      <c r="A10" s="226"/>
      <c r="B10" s="14" t="s">
        <v>47</v>
      </c>
      <c r="C10" s="15" t="s">
        <v>41</v>
      </c>
      <c r="D10" s="14" t="s">
        <v>42</v>
      </c>
      <c r="E10" s="16" t="s">
        <v>43</v>
      </c>
      <c r="F10" s="16" t="s">
        <v>48</v>
      </c>
      <c r="G10" s="17" t="s">
        <v>45</v>
      </c>
    </row>
    <row r="11" spans="1:7" ht="15" thickBot="1" x14ac:dyDescent="0.35">
      <c r="A11" s="227"/>
      <c r="B11" s="18"/>
      <c r="C11" s="18"/>
      <c r="D11" s="29">
        <f>C11-B11</f>
        <v>0</v>
      </c>
      <c r="E11" s="30">
        <f>D11-31</f>
        <v>-31</v>
      </c>
      <c r="F11" s="21">
        <f>'Fisa de completat'!D18</f>
        <v>0</v>
      </c>
      <c r="G11" s="31">
        <f>(F11*0.2%)*E11</f>
        <v>0</v>
      </c>
    </row>
    <row r="12" spans="1:7" x14ac:dyDescent="0.3">
      <c r="B12" s="32"/>
      <c r="C12" s="33"/>
      <c r="D12" s="32"/>
      <c r="E12" s="34"/>
      <c r="F12" s="34"/>
      <c r="G12" s="32"/>
    </row>
    <row r="13" spans="1:7" x14ac:dyDescent="0.3">
      <c r="B13" s="35"/>
      <c r="C13" s="35"/>
      <c r="D13" s="33"/>
      <c r="E13" s="33"/>
      <c r="F13" s="33"/>
      <c r="G13" s="33"/>
    </row>
    <row r="14" spans="1:7" x14ac:dyDescent="0.3">
      <c r="A14" s="36" t="s">
        <v>49</v>
      </c>
      <c r="B14" s="37" t="s">
        <v>53</v>
      </c>
    </row>
    <row r="15" spans="1:7" x14ac:dyDescent="0.3">
      <c r="B15" s="37" t="s">
        <v>50</v>
      </c>
    </row>
  </sheetData>
  <mergeCells count="5">
    <mergeCell ref="B2:G2"/>
    <mergeCell ref="A4:A6"/>
    <mergeCell ref="B4:G4"/>
    <mergeCell ref="A8:A11"/>
    <mergeCell ref="B8:G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2:K16"/>
  <sheetViews>
    <sheetView topLeftCell="E1" zoomScale="87" zoomScaleNormal="87" workbookViewId="0">
      <selection activeCell="F29" sqref="F29"/>
    </sheetView>
  </sheetViews>
  <sheetFormatPr defaultRowHeight="14.4" x14ac:dyDescent="0.3"/>
  <cols>
    <col min="5" max="5" width="41.88671875" customWidth="1"/>
    <col min="6" max="6" width="31.109375" customWidth="1"/>
    <col min="9" max="9" width="38.109375" bestFit="1" customWidth="1"/>
    <col min="10" max="10" width="38" customWidth="1"/>
  </cols>
  <sheetData>
    <row r="2" spans="5:11" ht="21" thickBot="1" x14ac:dyDescent="0.4">
      <c r="E2" s="234" t="s">
        <v>28</v>
      </c>
      <c r="F2" s="234"/>
      <c r="G2" s="234"/>
      <c r="H2" s="234"/>
      <c r="I2" s="234"/>
      <c r="J2" s="234"/>
    </row>
    <row r="3" spans="5:11" x14ac:dyDescent="0.3">
      <c r="E3" s="2" t="s">
        <v>0</v>
      </c>
      <c r="F3" s="7" t="s">
        <v>25</v>
      </c>
      <c r="G3" s="3"/>
      <c r="H3" s="3"/>
      <c r="I3" s="3" t="s">
        <v>10</v>
      </c>
      <c r="J3" s="9" t="s">
        <v>25</v>
      </c>
    </row>
    <row r="4" spans="5:11" x14ac:dyDescent="0.3">
      <c r="E4" s="4" t="s">
        <v>1</v>
      </c>
      <c r="F4" s="8" t="s">
        <v>25</v>
      </c>
      <c r="G4" s="1"/>
      <c r="H4" s="1"/>
      <c r="I4" s="1" t="s">
        <v>11</v>
      </c>
      <c r="J4" s="10" t="s">
        <v>25</v>
      </c>
    </row>
    <row r="5" spans="5:11" x14ac:dyDescent="0.3">
      <c r="E5" s="4" t="s">
        <v>23</v>
      </c>
      <c r="F5" s="8" t="s">
        <v>25</v>
      </c>
      <c r="G5" s="1"/>
      <c r="H5" s="1"/>
      <c r="I5" s="1" t="s">
        <v>24</v>
      </c>
      <c r="J5" s="8" t="s">
        <v>25</v>
      </c>
    </row>
    <row r="6" spans="5:11" x14ac:dyDescent="0.3">
      <c r="E6" s="4" t="s">
        <v>2</v>
      </c>
      <c r="F6" s="8" t="s">
        <v>25</v>
      </c>
      <c r="G6" s="1"/>
      <c r="H6" s="1"/>
      <c r="I6" s="1" t="s">
        <v>12</v>
      </c>
      <c r="J6" s="8" t="s">
        <v>25</v>
      </c>
    </row>
    <row r="7" spans="5:11" x14ac:dyDescent="0.3">
      <c r="E7" s="4" t="s">
        <v>3</v>
      </c>
      <c r="F7" s="98"/>
      <c r="G7" s="1"/>
      <c r="H7" s="1"/>
      <c r="I7" s="1" t="s">
        <v>13</v>
      </c>
      <c r="J7" s="99"/>
    </row>
    <row r="8" spans="5:11" x14ac:dyDescent="0.3">
      <c r="E8" s="4" t="s">
        <v>4</v>
      </c>
      <c r="F8" s="98"/>
      <c r="G8" s="1"/>
      <c r="H8" s="1"/>
      <c r="I8" s="1" t="s">
        <v>14</v>
      </c>
      <c r="J8" s="8" t="s">
        <v>25</v>
      </c>
    </row>
    <row r="9" spans="5:11" x14ac:dyDescent="0.3">
      <c r="E9" s="4" t="s">
        <v>26</v>
      </c>
      <c r="F9" s="8" t="s">
        <v>25</v>
      </c>
      <c r="G9" s="1"/>
      <c r="H9" s="1"/>
      <c r="I9" s="1" t="s">
        <v>15</v>
      </c>
      <c r="J9" s="8" t="s">
        <v>25</v>
      </c>
    </row>
    <row r="10" spans="5:11" x14ac:dyDescent="0.3">
      <c r="E10" s="4" t="s">
        <v>27</v>
      </c>
      <c r="F10" s="98"/>
      <c r="G10" s="1"/>
      <c r="H10" s="1"/>
      <c r="I10" s="1" t="s">
        <v>16</v>
      </c>
      <c r="J10" s="99">
        <f>'Fisa de completat'!$D$12</f>
        <v>0</v>
      </c>
    </row>
    <row r="11" spans="5:11" x14ac:dyDescent="0.3">
      <c r="E11" s="4" t="s">
        <v>5</v>
      </c>
      <c r="F11" s="98">
        <f>'Fisa de completat'!$D$12</f>
        <v>0</v>
      </c>
      <c r="G11" s="1"/>
      <c r="H11" s="1"/>
      <c r="I11" s="1" t="s">
        <v>17</v>
      </c>
      <c r="J11" s="8" t="s">
        <v>25</v>
      </c>
    </row>
    <row r="12" spans="5:11" x14ac:dyDescent="0.3">
      <c r="E12" s="4" t="s">
        <v>6</v>
      </c>
      <c r="F12" s="95">
        <f>'Fisa de completat'!D19*1.19</f>
        <v>0</v>
      </c>
      <c r="G12" s="1"/>
      <c r="H12" s="1"/>
      <c r="I12" s="1" t="s">
        <v>18</v>
      </c>
      <c r="J12" s="97">
        <f>'Fisa de completat'!E19*1.19</f>
        <v>0</v>
      </c>
    </row>
    <row r="13" spans="5:11" x14ac:dyDescent="0.3">
      <c r="E13" s="4" t="s">
        <v>7</v>
      </c>
      <c r="F13" s="96">
        <f>'Fisa de completat'!D33</f>
        <v>0</v>
      </c>
      <c r="G13" s="1"/>
      <c r="H13" s="1"/>
      <c r="I13" s="1" t="s">
        <v>19</v>
      </c>
      <c r="J13" s="97">
        <f>'Fisa de completat'!E33</f>
        <v>0</v>
      </c>
      <c r="K13" s="11"/>
    </row>
    <row r="14" spans="5:11" x14ac:dyDescent="0.3">
      <c r="E14" s="4" t="s">
        <v>8</v>
      </c>
      <c r="F14" s="8" t="s">
        <v>25</v>
      </c>
      <c r="G14" s="1"/>
      <c r="H14" s="1"/>
      <c r="I14" s="1" t="s">
        <v>20</v>
      </c>
      <c r="J14" s="100">
        <v>0</v>
      </c>
    </row>
    <row r="15" spans="5:11" x14ac:dyDescent="0.3">
      <c r="E15" s="4" t="s">
        <v>9</v>
      </c>
      <c r="F15" s="8" t="s">
        <v>25</v>
      </c>
      <c r="G15" s="1"/>
      <c r="H15" s="1"/>
      <c r="I15" s="1" t="s">
        <v>21</v>
      </c>
      <c r="J15" s="8" t="s">
        <v>25</v>
      </c>
    </row>
    <row r="16" spans="5:11" ht="15" thickBot="1" x14ac:dyDescent="0.35">
      <c r="E16" s="5"/>
      <c r="F16" s="6"/>
      <c r="G16" s="6"/>
      <c r="H16" s="6"/>
      <c r="I16" s="6" t="s">
        <v>22</v>
      </c>
      <c r="J16" s="8" t="s">
        <v>25</v>
      </c>
    </row>
  </sheetData>
  <mergeCells count="1">
    <mergeCell ref="E2:J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0"/>
  <sheetViews>
    <sheetView topLeftCell="C1" workbookViewId="0">
      <selection activeCell="M2" sqref="M2"/>
    </sheetView>
  </sheetViews>
  <sheetFormatPr defaultRowHeight="14.4" x14ac:dyDescent="0.3"/>
  <cols>
    <col min="1" max="1" width="4.6640625" customWidth="1"/>
    <col min="2" max="2" width="15.33203125" bestFit="1" customWidth="1"/>
    <col min="3" max="3" width="30" bestFit="1" customWidth="1"/>
    <col min="4" max="4" width="9.88671875" customWidth="1"/>
    <col min="5" max="5" width="11.6640625" customWidth="1"/>
    <col min="6" max="6" width="10.5546875" customWidth="1"/>
    <col min="7" max="7" width="15.77734375" customWidth="1"/>
    <col min="8" max="8" width="20.6640625" customWidth="1"/>
    <col min="10" max="10" width="17.21875" customWidth="1"/>
    <col min="11" max="11" width="14.109375" bestFit="1" customWidth="1"/>
    <col min="13" max="13" width="12.33203125" customWidth="1"/>
    <col min="14" max="14" width="19.6640625" customWidth="1"/>
    <col min="15" max="15" width="11.33203125" customWidth="1"/>
    <col min="17" max="17" width="10.109375" customWidth="1"/>
    <col min="19" max="19" width="17" customWidth="1"/>
  </cols>
  <sheetData>
    <row r="1" spans="1:19" ht="72.599999999999994" thickBot="1" x14ac:dyDescent="0.35">
      <c r="A1" s="66"/>
      <c r="B1" s="67" t="s">
        <v>74</v>
      </c>
      <c r="C1" s="68" t="s">
        <v>75</v>
      </c>
      <c r="D1" s="69" t="s">
        <v>76</v>
      </c>
      <c r="E1" s="69" t="s">
        <v>77</v>
      </c>
      <c r="F1" s="69" t="s">
        <v>78</v>
      </c>
      <c r="G1" s="160" t="s">
        <v>599</v>
      </c>
      <c r="H1" s="69" t="s">
        <v>79</v>
      </c>
      <c r="I1" s="92" t="s">
        <v>80</v>
      </c>
      <c r="J1" s="69" t="s">
        <v>81</v>
      </c>
      <c r="K1" s="69" t="s">
        <v>82</v>
      </c>
      <c r="L1" s="69" t="s">
        <v>83</v>
      </c>
      <c r="M1" s="160" t="s">
        <v>600</v>
      </c>
      <c r="N1" s="69" t="s">
        <v>84</v>
      </c>
      <c r="O1" s="70" t="s">
        <v>85</v>
      </c>
      <c r="P1" s="70" t="s">
        <v>86</v>
      </c>
      <c r="Q1" s="71" t="s">
        <v>87</v>
      </c>
      <c r="R1" s="72" t="s">
        <v>88</v>
      </c>
      <c r="S1" s="73" t="s">
        <v>89</v>
      </c>
    </row>
    <row r="2" spans="1:19" ht="15" thickTop="1" x14ac:dyDescent="0.3">
      <c r="A2" s="74">
        <v>1</v>
      </c>
      <c r="B2" s="75">
        <f>'Fisa de completat'!F2</f>
        <v>0</v>
      </c>
      <c r="C2" s="76">
        <f>'Fisa de completat'!D18</f>
        <v>0</v>
      </c>
      <c r="D2" s="77" t="s">
        <v>90</v>
      </c>
      <c r="E2" s="77" t="s">
        <v>91</v>
      </c>
      <c r="F2" s="76">
        <f>'Fisa de completat'!E18</f>
        <v>0</v>
      </c>
      <c r="G2" s="162" t="str">
        <f>'Fisa de completat'!F16</f>
        <v>1</v>
      </c>
      <c r="H2" s="77">
        <f>'Fisa de completat'!E15</f>
        <v>0</v>
      </c>
      <c r="I2" s="76">
        <f>'Fisa de completat'!D33</f>
        <v>0</v>
      </c>
      <c r="J2" s="93" t="e">
        <f>'Fisa de completat'!D33/'Fisa de completat'!D34</f>
        <v>#DIV/0!</v>
      </c>
      <c r="K2" s="77" t="s">
        <v>92</v>
      </c>
      <c r="L2" s="76">
        <f>'Fisa de completat'!E33</f>
        <v>0</v>
      </c>
      <c r="M2" s="163" t="str">
        <f>'Fisa de completat'!F29</f>
        <v>0</v>
      </c>
      <c r="N2" s="78">
        <f>'Fisa de completat'!E30</f>
        <v>0</v>
      </c>
      <c r="O2" s="79">
        <f>'Fisa de completat'!D36</f>
        <v>0</v>
      </c>
      <c r="P2" s="79" t="str">
        <f>'Fisa de completat'!E35</f>
        <v>--</v>
      </c>
      <c r="Q2" s="80">
        <f>C2-F2</f>
        <v>0</v>
      </c>
      <c r="R2" s="94">
        <f>I2-L2</f>
        <v>0</v>
      </c>
      <c r="S2" s="81">
        <f>Q2+R2</f>
        <v>0</v>
      </c>
    </row>
    <row r="3" spans="1:19" x14ac:dyDescent="0.3">
      <c r="A3" s="82">
        <v>2</v>
      </c>
      <c r="B3" s="83"/>
      <c r="C3" s="83"/>
      <c r="D3" s="83"/>
      <c r="E3" s="83"/>
      <c r="F3" s="83"/>
      <c r="G3" s="83"/>
      <c r="H3" s="83"/>
      <c r="I3" s="83"/>
      <c r="J3" s="83"/>
      <c r="K3" s="83"/>
      <c r="L3" s="83"/>
      <c r="M3" s="83"/>
      <c r="N3" s="83"/>
      <c r="O3" s="84"/>
      <c r="P3" s="84"/>
      <c r="Q3" s="85"/>
      <c r="R3" s="1"/>
      <c r="S3" s="86"/>
    </row>
    <row r="4" spans="1:19" x14ac:dyDescent="0.3">
      <c r="A4" s="82">
        <v>3</v>
      </c>
      <c r="B4" s="83"/>
      <c r="C4" s="83"/>
      <c r="D4" s="83"/>
      <c r="E4" s="83"/>
      <c r="F4" s="83"/>
      <c r="G4" s="83"/>
      <c r="H4" s="83"/>
      <c r="I4" s="83"/>
      <c r="J4" s="83"/>
      <c r="K4" s="83"/>
      <c r="L4" s="83"/>
      <c r="M4" s="83"/>
      <c r="N4" s="83"/>
      <c r="O4" s="84"/>
      <c r="P4" s="84"/>
      <c r="Q4" s="85"/>
      <c r="R4" s="1"/>
      <c r="S4" s="86"/>
    </row>
    <row r="5" spans="1:19" x14ac:dyDescent="0.3">
      <c r="A5" s="82">
        <v>4</v>
      </c>
      <c r="B5" s="83"/>
      <c r="C5" s="83"/>
      <c r="D5" s="83"/>
      <c r="E5" s="83"/>
      <c r="F5" s="83"/>
      <c r="G5" s="83"/>
      <c r="H5" s="83"/>
      <c r="I5" s="83"/>
      <c r="J5" s="83"/>
      <c r="K5" s="83"/>
      <c r="L5" s="83"/>
      <c r="M5" s="83"/>
      <c r="N5" s="83"/>
      <c r="O5" s="84"/>
      <c r="P5" s="84"/>
      <c r="Q5" s="85"/>
      <c r="R5" s="1"/>
      <c r="S5" s="86"/>
    </row>
    <row r="6" spans="1:19" x14ac:dyDescent="0.3">
      <c r="A6" s="82">
        <v>5</v>
      </c>
      <c r="B6" s="83"/>
      <c r="C6" s="83"/>
      <c r="D6" s="83"/>
      <c r="E6" s="83"/>
      <c r="F6" s="83"/>
      <c r="G6" s="83"/>
      <c r="H6" s="83"/>
      <c r="I6" s="83"/>
      <c r="J6" s="83"/>
      <c r="K6" s="83"/>
      <c r="L6" s="83"/>
      <c r="M6" s="83"/>
      <c r="N6" s="83"/>
      <c r="O6" s="84"/>
      <c r="P6" s="84"/>
      <c r="Q6" s="85"/>
      <c r="R6" s="1"/>
      <c r="S6" s="86"/>
    </row>
    <row r="7" spans="1:19" x14ac:dyDescent="0.3">
      <c r="A7" s="82">
        <v>6</v>
      </c>
      <c r="B7" s="83"/>
      <c r="C7" s="83"/>
      <c r="D7" s="83"/>
      <c r="E7" s="83"/>
      <c r="F7" s="83"/>
      <c r="G7" s="83"/>
      <c r="H7" s="83"/>
      <c r="I7" s="83"/>
      <c r="J7" s="83"/>
      <c r="K7" s="83"/>
      <c r="L7" s="83"/>
      <c r="M7" s="83"/>
      <c r="N7" s="83"/>
      <c r="O7" s="84"/>
      <c r="P7" s="84"/>
      <c r="Q7" s="85"/>
      <c r="R7" s="1"/>
      <c r="S7" s="86"/>
    </row>
    <row r="8" spans="1:19" x14ac:dyDescent="0.3">
      <c r="A8" s="82">
        <v>7</v>
      </c>
      <c r="B8" s="83"/>
      <c r="C8" s="83"/>
      <c r="D8" s="83"/>
      <c r="E8" s="83"/>
      <c r="F8" s="83"/>
      <c r="G8" s="83"/>
      <c r="H8" s="83"/>
      <c r="I8" s="83"/>
      <c r="J8" s="83"/>
      <c r="K8" s="83"/>
      <c r="L8" s="83"/>
      <c r="M8" s="83"/>
      <c r="N8" s="83"/>
      <c r="O8" s="84"/>
      <c r="P8" s="84"/>
      <c r="Q8" s="85"/>
      <c r="R8" s="1"/>
      <c r="S8" s="86"/>
    </row>
    <row r="9" spans="1:19" x14ac:dyDescent="0.3">
      <c r="A9" s="82">
        <v>8</v>
      </c>
      <c r="B9" s="83"/>
      <c r="C9" s="83"/>
      <c r="D9" s="83"/>
      <c r="E9" s="83"/>
      <c r="F9" s="83"/>
      <c r="G9" s="83"/>
      <c r="H9" s="83"/>
      <c r="I9" s="83"/>
      <c r="J9" s="83"/>
      <c r="K9" s="83"/>
      <c r="L9" s="83"/>
      <c r="M9" s="83"/>
      <c r="N9" s="83"/>
      <c r="O9" s="84"/>
      <c r="P9" s="84"/>
      <c r="Q9" s="85"/>
      <c r="R9" s="1"/>
      <c r="S9" s="86"/>
    </row>
    <row r="10" spans="1:19" x14ac:dyDescent="0.3">
      <c r="A10" s="82">
        <v>9</v>
      </c>
      <c r="B10" s="83"/>
      <c r="C10" s="83"/>
      <c r="D10" s="83"/>
      <c r="E10" s="83"/>
      <c r="F10" s="83"/>
      <c r="G10" s="83"/>
      <c r="H10" s="83"/>
      <c r="I10" s="83"/>
      <c r="J10" s="83"/>
      <c r="K10" s="83"/>
      <c r="L10" s="83"/>
      <c r="M10" s="83"/>
      <c r="N10" s="83"/>
      <c r="O10" s="84"/>
      <c r="P10" s="84"/>
      <c r="Q10" s="85"/>
      <c r="R10" s="1"/>
      <c r="S10" s="86"/>
    </row>
    <row r="11" spans="1:19" x14ac:dyDescent="0.3">
      <c r="A11" s="82">
        <v>10</v>
      </c>
      <c r="B11" s="83"/>
      <c r="C11" s="83"/>
      <c r="D11" s="83"/>
      <c r="E11" s="83"/>
      <c r="F11" s="83"/>
      <c r="G11" s="83"/>
      <c r="H11" s="83"/>
      <c r="I11" s="83"/>
      <c r="J11" s="83"/>
      <c r="K11" s="83"/>
      <c r="L11" s="83"/>
      <c r="M11" s="83"/>
      <c r="N11" s="83"/>
      <c r="O11" s="84"/>
      <c r="P11" s="84"/>
      <c r="Q11" s="85"/>
      <c r="R11" s="1"/>
      <c r="S11" s="86"/>
    </row>
    <row r="12" spans="1:19" x14ac:dyDescent="0.3">
      <c r="A12" s="82">
        <v>11</v>
      </c>
      <c r="B12" s="83"/>
      <c r="C12" s="83"/>
      <c r="D12" s="83"/>
      <c r="E12" s="83"/>
      <c r="F12" s="83"/>
      <c r="G12" s="83"/>
      <c r="H12" s="83"/>
      <c r="I12" s="83"/>
      <c r="J12" s="83"/>
      <c r="K12" s="83"/>
      <c r="L12" s="83"/>
      <c r="M12" s="83"/>
      <c r="N12" s="83"/>
      <c r="O12" s="84"/>
      <c r="P12" s="84"/>
      <c r="Q12" s="85"/>
      <c r="R12" s="1"/>
      <c r="S12" s="86"/>
    </row>
    <row r="13" spans="1:19" x14ac:dyDescent="0.3">
      <c r="A13" s="82">
        <v>12</v>
      </c>
      <c r="B13" s="83"/>
      <c r="C13" s="83"/>
      <c r="D13" s="83"/>
      <c r="E13" s="83"/>
      <c r="F13" s="83"/>
      <c r="G13" s="83"/>
      <c r="H13" s="83"/>
      <c r="I13" s="83"/>
      <c r="J13" s="83"/>
      <c r="K13" s="83"/>
      <c r="L13" s="83"/>
      <c r="M13" s="83"/>
      <c r="N13" s="83"/>
      <c r="O13" s="84"/>
      <c r="P13" s="84"/>
      <c r="Q13" s="85"/>
      <c r="R13" s="1"/>
      <c r="S13" s="86"/>
    </row>
    <row r="14" spans="1:19" x14ac:dyDescent="0.3">
      <c r="A14" s="82">
        <v>13</v>
      </c>
      <c r="B14" s="83"/>
      <c r="C14" s="83"/>
      <c r="D14" s="83"/>
      <c r="E14" s="83"/>
      <c r="F14" s="83"/>
      <c r="G14" s="83"/>
      <c r="H14" s="83"/>
      <c r="I14" s="83"/>
      <c r="J14" s="83"/>
      <c r="K14" s="83"/>
      <c r="L14" s="83"/>
      <c r="M14" s="83"/>
      <c r="N14" s="83"/>
      <c r="O14" s="84"/>
      <c r="P14" s="84"/>
      <c r="Q14" s="85"/>
      <c r="R14" s="1"/>
      <c r="S14" s="86"/>
    </row>
    <row r="15" spans="1:19" x14ac:dyDescent="0.3">
      <c r="A15" s="82">
        <v>14</v>
      </c>
      <c r="B15" s="83"/>
      <c r="C15" s="83"/>
      <c r="D15" s="83"/>
      <c r="E15" s="83"/>
      <c r="F15" s="83"/>
      <c r="G15" s="83"/>
      <c r="H15" s="83"/>
      <c r="I15" s="83"/>
      <c r="J15" s="83"/>
      <c r="K15" s="83"/>
      <c r="L15" s="83"/>
      <c r="M15" s="83"/>
      <c r="N15" s="83"/>
      <c r="O15" s="84"/>
      <c r="P15" s="84"/>
      <c r="Q15" s="85"/>
      <c r="R15" s="1"/>
      <c r="S15" s="86"/>
    </row>
    <row r="16" spans="1:19" x14ac:dyDescent="0.3">
      <c r="A16" s="82">
        <v>15</v>
      </c>
      <c r="B16" s="83"/>
      <c r="C16" s="83"/>
      <c r="D16" s="83"/>
      <c r="E16" s="83"/>
      <c r="F16" s="83"/>
      <c r="G16" s="83"/>
      <c r="H16" s="83"/>
      <c r="I16" s="83"/>
      <c r="J16" s="83"/>
      <c r="K16" s="83"/>
      <c r="L16" s="83"/>
      <c r="M16" s="83"/>
      <c r="N16" s="83"/>
      <c r="O16" s="84"/>
      <c r="P16" s="84"/>
      <c r="Q16" s="85"/>
      <c r="R16" s="1"/>
      <c r="S16" s="86"/>
    </row>
    <row r="17" spans="1:19" x14ac:dyDescent="0.3">
      <c r="A17" s="82">
        <v>16</v>
      </c>
      <c r="B17" s="83"/>
      <c r="C17" s="83"/>
      <c r="D17" s="83"/>
      <c r="E17" s="83"/>
      <c r="F17" s="83"/>
      <c r="G17" s="83"/>
      <c r="H17" s="83"/>
      <c r="I17" s="83"/>
      <c r="J17" s="83"/>
      <c r="K17" s="83"/>
      <c r="L17" s="83"/>
      <c r="M17" s="83"/>
      <c r="N17" s="83"/>
      <c r="O17" s="84"/>
      <c r="P17" s="84"/>
      <c r="Q17" s="85"/>
      <c r="R17" s="1"/>
      <c r="S17" s="86"/>
    </row>
    <row r="18" spans="1:19" x14ac:dyDescent="0.3">
      <c r="A18" s="82">
        <v>17</v>
      </c>
      <c r="B18" s="83"/>
      <c r="C18" s="83"/>
      <c r="D18" s="83"/>
      <c r="E18" s="83"/>
      <c r="F18" s="83"/>
      <c r="G18" s="83"/>
      <c r="H18" s="83"/>
      <c r="I18" s="83"/>
      <c r="J18" s="83"/>
      <c r="K18" s="83"/>
      <c r="L18" s="83"/>
      <c r="M18" s="83"/>
      <c r="N18" s="83"/>
      <c r="O18" s="84"/>
      <c r="P18" s="84"/>
      <c r="Q18" s="85"/>
      <c r="R18" s="1"/>
      <c r="S18" s="86"/>
    </row>
    <row r="19" spans="1:19" x14ac:dyDescent="0.3">
      <c r="A19" s="82">
        <v>18</v>
      </c>
      <c r="B19" s="83"/>
      <c r="C19" s="83"/>
      <c r="D19" s="83"/>
      <c r="E19" s="83"/>
      <c r="F19" s="83"/>
      <c r="G19" s="83"/>
      <c r="H19" s="83"/>
      <c r="I19" s="83"/>
      <c r="J19" s="83"/>
      <c r="K19" s="83"/>
      <c r="L19" s="83"/>
      <c r="M19" s="83"/>
      <c r="N19" s="83"/>
      <c r="O19" s="84"/>
      <c r="P19" s="84"/>
      <c r="Q19" s="85"/>
      <c r="R19" s="1"/>
      <c r="S19" s="86"/>
    </row>
    <row r="20" spans="1:19" ht="15" thickBot="1" x14ac:dyDescent="0.35">
      <c r="A20" s="87">
        <v>19</v>
      </c>
      <c r="B20" s="88"/>
      <c r="C20" s="88"/>
      <c r="D20" s="88"/>
      <c r="E20" s="88"/>
      <c r="F20" s="88"/>
      <c r="G20" s="88"/>
      <c r="H20" s="88"/>
      <c r="I20" s="88"/>
      <c r="J20" s="88"/>
      <c r="K20" s="88"/>
      <c r="L20" s="88"/>
      <c r="M20" s="88"/>
      <c r="N20" s="88"/>
      <c r="O20" s="89"/>
      <c r="P20" s="89"/>
      <c r="Q20" s="90"/>
      <c r="R20" s="6"/>
      <c r="S20" s="91"/>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3"/>
  <sheetViews>
    <sheetView workbookViewId="0">
      <selection activeCell="X2" sqref="X2"/>
    </sheetView>
  </sheetViews>
  <sheetFormatPr defaultColWidth="9.109375" defaultRowHeight="14.4" x14ac:dyDescent="0.3"/>
  <cols>
    <col min="1" max="1" width="16.44140625" style="54" bestFit="1" customWidth="1"/>
    <col min="2" max="3" width="16.44140625" style="54" customWidth="1"/>
    <col min="4" max="4" width="19.5546875" style="54" bestFit="1" customWidth="1"/>
    <col min="5" max="5" width="13.5546875" style="54" bestFit="1" customWidth="1"/>
    <col min="6" max="6" width="22.5546875" style="54" bestFit="1" customWidth="1"/>
    <col min="7" max="8" width="63.109375" style="54" customWidth="1"/>
    <col min="9" max="9" width="14.44140625" style="54" bestFit="1" customWidth="1"/>
    <col min="10" max="10" width="14.88671875" style="54" bestFit="1" customWidth="1"/>
    <col min="11" max="11" width="20.44140625" style="54" bestFit="1" customWidth="1"/>
    <col min="12" max="12" width="18.5546875" style="54" bestFit="1" customWidth="1"/>
    <col min="13" max="13" width="11.33203125" style="54" bestFit="1" customWidth="1"/>
    <col min="14" max="14" width="15.6640625" style="54" bestFit="1" customWidth="1"/>
    <col min="15" max="15" width="18.44140625" style="54" bestFit="1" customWidth="1"/>
    <col min="16" max="16" width="25.5546875" style="54" bestFit="1" customWidth="1"/>
    <col min="17" max="17" width="23.6640625" style="54" bestFit="1" customWidth="1"/>
    <col min="18" max="18" width="24.109375" style="54" bestFit="1" customWidth="1"/>
    <col min="19" max="19" width="19" style="54" bestFit="1" customWidth="1"/>
    <col min="20" max="20" width="20.88671875" style="54" bestFit="1" customWidth="1"/>
    <col min="21" max="21" width="24" style="54" bestFit="1" customWidth="1"/>
    <col min="22" max="22" width="24" style="54" customWidth="1"/>
    <col min="23" max="23" width="15.109375" style="54" bestFit="1" customWidth="1"/>
    <col min="24" max="24" width="25.33203125" style="54" bestFit="1" customWidth="1"/>
    <col min="25" max="25" width="24.109375" style="54" customWidth="1"/>
    <col min="26" max="26" width="21.6640625" style="54" customWidth="1"/>
    <col min="27" max="27" width="17.21875" style="54" customWidth="1"/>
    <col min="28" max="16384" width="9.109375" style="54"/>
  </cols>
  <sheetData>
    <row r="1" spans="1:33" x14ac:dyDescent="0.3">
      <c r="A1" s="43" t="s">
        <v>29</v>
      </c>
      <c r="B1" s="43" t="s">
        <v>10</v>
      </c>
      <c r="C1" s="43" t="s">
        <v>59</v>
      </c>
      <c r="D1" s="43" t="s">
        <v>34</v>
      </c>
      <c r="E1" s="43" t="s">
        <v>35</v>
      </c>
      <c r="F1" s="43" t="s">
        <v>93</v>
      </c>
      <c r="G1" s="43" t="s">
        <v>36</v>
      </c>
      <c r="H1" s="43" t="s">
        <v>97</v>
      </c>
      <c r="I1" s="43" t="s">
        <v>30</v>
      </c>
      <c r="J1" s="43" t="s">
        <v>60</v>
      </c>
      <c r="K1" s="43" t="s">
        <v>70</v>
      </c>
      <c r="L1" s="43" t="s">
        <v>31</v>
      </c>
      <c r="M1" s="43" t="s">
        <v>32</v>
      </c>
      <c r="N1" s="43" t="s">
        <v>33</v>
      </c>
      <c r="O1" s="43" t="s">
        <v>71</v>
      </c>
      <c r="P1" s="43" t="s">
        <v>62</v>
      </c>
      <c r="Q1" s="43" t="s">
        <v>63</v>
      </c>
      <c r="R1" s="43" t="s">
        <v>68</v>
      </c>
      <c r="S1" s="43" t="s">
        <v>65</v>
      </c>
      <c r="T1" s="43" t="s">
        <v>66</v>
      </c>
      <c r="U1" s="52" t="s">
        <v>67</v>
      </c>
      <c r="V1" s="52" t="s">
        <v>73</v>
      </c>
      <c r="W1" s="43" t="s">
        <v>64</v>
      </c>
      <c r="X1" s="53" t="s">
        <v>61</v>
      </c>
      <c r="Y1" s="43" t="s">
        <v>98</v>
      </c>
      <c r="Z1" s="43" t="s">
        <v>99</v>
      </c>
      <c r="AA1" s="43" t="s">
        <v>100</v>
      </c>
      <c r="AB1" s="43"/>
      <c r="AC1" s="43"/>
      <c r="AD1" s="43"/>
      <c r="AE1" s="43"/>
    </row>
    <row r="2" spans="1:33" x14ac:dyDescent="0.3">
      <c r="A2" s="43">
        <f>'Fisa de completat'!F2</f>
        <v>0</v>
      </c>
      <c r="B2" s="40">
        <f>'Fisa de completat'!$D$11</f>
        <v>0</v>
      </c>
      <c r="C2" s="43">
        <f>'Fisa de completat'!$D$5</f>
        <v>0</v>
      </c>
      <c r="D2" s="43">
        <f>'Fisa de completat'!D6:E6</f>
        <v>0</v>
      </c>
      <c r="E2" s="43">
        <f>'Fisa de completat'!$D$7</f>
        <v>0</v>
      </c>
      <c r="F2" s="43" t="e">
        <f>'Fisa de completat'!#REF!</f>
        <v>#REF!</v>
      </c>
      <c r="G2" s="43">
        <f>'Fisa de completat'!$D$8</f>
        <v>0</v>
      </c>
      <c r="H2" s="43">
        <f>'Fisa de completat'!$D$10</f>
        <v>0</v>
      </c>
      <c r="I2" s="44">
        <f>'Fisa de completat'!$D$18</f>
        <v>0</v>
      </c>
      <c r="J2" s="44">
        <f>'Fisa de completat'!$E$18</f>
        <v>0</v>
      </c>
      <c r="K2" s="43">
        <f>'Fisa de completat'!$F$18</f>
        <v>0</v>
      </c>
      <c r="L2" s="43">
        <f>'Fisa de completat'!$C$15</f>
        <v>0</v>
      </c>
      <c r="M2" s="40">
        <f>'Fisa de completat'!$D$15</f>
        <v>0</v>
      </c>
      <c r="N2" s="43">
        <f>'Fisa de completat'!$E$15</f>
        <v>0</v>
      </c>
      <c r="O2" s="44">
        <f>'Fisa de completat'!$F$15</f>
        <v>0</v>
      </c>
      <c r="P2" s="44">
        <f>'Fisa de completat'!$E$34</f>
        <v>0</v>
      </c>
      <c r="Q2" s="44">
        <f>'Fisa de completat'!$D$33</f>
        <v>0</v>
      </c>
      <c r="R2" s="44">
        <f>'Fisa de completat'!$E$33</f>
        <v>0</v>
      </c>
      <c r="S2" s="43">
        <f>'Fisa de completat'!$C$30</f>
        <v>0</v>
      </c>
      <c r="T2" s="40">
        <f>'Fisa de completat'!$D$30</f>
        <v>0</v>
      </c>
      <c r="U2" s="52">
        <f>'Fisa de completat'!$E$30</f>
        <v>0</v>
      </c>
      <c r="V2" s="64">
        <f>'Fisa de completat'!$F$30</f>
        <v>0</v>
      </c>
      <c r="W2" s="43">
        <f>'Fisa de completat'!$D$36</f>
        <v>0</v>
      </c>
      <c r="X2" s="114" t="e">
        <f>'Fisa de completat'!E33/'Fisa de completat'!E34</f>
        <v>#DIV/0!</v>
      </c>
      <c r="Y2" s="112">
        <f>'Fisa de completat'!D40</f>
        <v>0</v>
      </c>
      <c r="Z2" s="111">
        <f>'Fisa de completat'!D40</f>
        <v>0</v>
      </c>
      <c r="AA2" s="111">
        <f>'Fisa de completat'!D41</f>
        <v>0</v>
      </c>
      <c r="AB2" s="43"/>
      <c r="AC2" s="43"/>
      <c r="AD2" s="43"/>
    </row>
    <row r="3" spans="1:33" x14ac:dyDescent="0.3">
      <c r="A3" s="237" t="s">
        <v>72</v>
      </c>
      <c r="B3" s="238"/>
      <c r="C3" s="238"/>
      <c r="D3" s="238"/>
      <c r="E3" s="238"/>
      <c r="F3" s="238"/>
      <c r="G3" s="238"/>
      <c r="H3" s="109"/>
      <c r="I3" s="239" t="s">
        <v>57</v>
      </c>
      <c r="J3" s="240"/>
      <c r="K3" s="240"/>
      <c r="L3" s="240"/>
      <c r="M3" s="240"/>
      <c r="N3" s="240"/>
      <c r="O3" s="241"/>
      <c r="P3" s="235" t="s">
        <v>58</v>
      </c>
      <c r="Q3" s="236"/>
      <c r="R3" s="236"/>
      <c r="S3" s="236"/>
      <c r="T3" s="236"/>
      <c r="U3" s="236"/>
      <c r="V3" s="236"/>
      <c r="W3" s="236"/>
      <c r="X3" s="236"/>
      <c r="Y3" s="235" t="s">
        <v>58</v>
      </c>
      <c r="Z3" s="236"/>
      <c r="AA3" s="236"/>
      <c r="AB3" s="236"/>
      <c r="AC3" s="236"/>
      <c r="AD3" s="236"/>
      <c r="AE3" s="236"/>
      <c r="AF3" s="236"/>
      <c r="AG3" s="236"/>
    </row>
  </sheetData>
  <mergeCells count="4">
    <mergeCell ref="P3:X3"/>
    <mergeCell ref="A3:G3"/>
    <mergeCell ref="I3:O3"/>
    <mergeCell ref="Y3:AG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Fisa de completat</vt:lpstr>
      <vt:lpstr>Cronologie Rent</vt:lpstr>
      <vt:lpstr>Clase Auto</vt:lpstr>
      <vt:lpstr>Calculator penalitati</vt:lpstr>
      <vt:lpstr>FISA ASF</vt:lpstr>
      <vt:lpstr>Tabel centralizator abuzuri</vt:lpstr>
      <vt:lpstr>Baza de date</vt:lpstr>
      <vt:lpstr>NEDEPLASABILA</vt:lpstr>
    </vt:vector>
  </TitlesOfParts>
  <Company>HP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Marius Marin</dc:creator>
  <cp:lastModifiedBy>Adrian Anghel</cp:lastModifiedBy>
  <cp:lastPrinted>2023-05-29T18:18:28Z</cp:lastPrinted>
  <dcterms:created xsi:type="dcterms:W3CDTF">2019-09-19T11:30:09Z</dcterms:created>
  <dcterms:modified xsi:type="dcterms:W3CDTF">2026-10-23T12:23:48Z</dcterms:modified>
</cp:coreProperties>
</file>